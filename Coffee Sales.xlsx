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ocuments\MY PROJECT\"/>
    </mc:Choice>
  </mc:AlternateContent>
  <xr:revisionPtr revIDLastSave="0" documentId="13_ncr:1_{CADA7490-1CFB-4BBE-B5EC-D0BFC90AC28A}" xr6:coauthVersionLast="47" xr6:coauthVersionMax="47" xr10:uidLastSave="{00000000-0000-0000-0000-000000000000}"/>
  <bookViews>
    <workbookView xWindow="-120" yWindow="-120" windowWidth="20730" windowHeight="11040" activeTab="5" xr2:uid="{8B2B2C56-FE6C-44F0-88DD-D114B7158C89}"/>
  </bookViews>
  <sheets>
    <sheet name="customer info" sheetId="2" r:id="rId1"/>
    <sheet name="product info" sheetId="3" r:id="rId2"/>
    <sheet name="meta data" sheetId="4" r:id="rId3"/>
    <sheet name="orders" sheetId="1" r:id="rId4"/>
    <sheet name="Pivot Table" sheetId="5" r:id="rId5"/>
    <sheet name="Dashboard" sheetId="6" r:id="rId6"/>
  </sheets>
  <definedNames>
    <definedName name="_xlnm._FilterDatabase" localSheetId="0" hidden="1">'customer info'!$A$1:$J$1001</definedName>
    <definedName name="_xlnm._FilterDatabase" localSheetId="3" hidden="1">orders!$A$1:$Q$1001</definedName>
    <definedName name="_xlcn.WorksheetConnection_cofee_sale.xlsxTable31" hidden="1">Table3[]</definedName>
    <definedName name="Slicer_Coffee_Type">#N/A</definedName>
    <definedName name="Slicer_Loyalty_Card1">#N/A</definedName>
    <definedName name="Slicer_Roast_Type">#N/A</definedName>
    <definedName name="Slicer_Year">#N/A</definedName>
    <definedName name="Timeline_Order_Date">#N/A</definedName>
  </definedNames>
  <calcPr calcId="191029"/>
  <pivotCaches>
    <pivotCache cacheId="243" r:id="rId7"/>
    <pivotCache cacheId="246" r:id="rId8"/>
    <pivotCache cacheId="249" r:id="rId9"/>
    <pivotCache cacheId="252" r:id="rId10"/>
    <pivotCache cacheId="255" r:id="rId11"/>
    <pivotCache cacheId="258" r:id="rId12"/>
    <pivotCache cacheId="261" r:id="rId13"/>
    <pivotCache cacheId="264" r:id="rId14"/>
  </pivotCaches>
  <extLst>
    <ext xmlns:x14="http://schemas.microsoft.com/office/spreadsheetml/2009/9/main" uri="{876F7934-8845-4945-9796-88D515C7AA90}">
      <x14:pivotCaches>
        <pivotCache cacheId="94" r:id="rId15"/>
        <pivotCache cacheId="9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6"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cofee_sale.xlsx!Table3"/>
        </x15:modelTables>
        <x15:extLst>
          <ext xmlns:x16="http://schemas.microsoft.com/office/spreadsheetml/2014/11/main" uri="{9835A34E-60A6-4A7C-AAB8-D5F71C897F49}">
            <x16:modelTimeGroupings>
              <x16:modelTimeGrouping tableName="Table3"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B8" i="5"/>
  <c r="B7" i="5"/>
  <c r="B6" i="5"/>
  <c r="B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7700DF-76CB-47D5-B8C6-892173A1DD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0529207-5CE1-44E8-A6C4-60FA34A087BD}" name="WorksheetConnection_cofee_sale.xlsx!Table3" type="102" refreshedVersion="8" minRefreshableVersion="5">
    <extLst>
      <ext xmlns:x15="http://schemas.microsoft.com/office/spreadsheetml/2010/11/main" uri="{DE250136-89BD-433C-8126-D09CA5730AF9}">
        <x15:connection id="Table3" autoDelete="1">
          <x15:rangePr sourceName="_xlcn.WorksheetConnection_cofee_sale.xlsxTable31"/>
        </x15:connection>
      </ext>
    </extLst>
  </connection>
</connections>
</file>

<file path=xl/sharedStrings.xml><?xml version="1.0" encoding="utf-8"?>
<sst xmlns="http://schemas.openxmlformats.org/spreadsheetml/2006/main" count="19139" uniqueCount="6250">
  <si>
    <t>Order ID</t>
  </si>
  <si>
    <t>Order Date</t>
  </si>
  <si>
    <t>Year</t>
  </si>
  <si>
    <t>Customer ID</t>
  </si>
  <si>
    <t>Product ID</t>
  </si>
  <si>
    <t>Quantity</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</si>
  <si>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</si>
  <si>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</si>
  <si>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</si>
  <si>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</si>
  <si>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</si>
  <si>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</si>
  <si>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</si>
  <si>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</si>
  <si>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</si>
  <si>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</si>
  <si>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</si>
  <si>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</si>
  <si>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</si>
  <si>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</si>
  <si>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</si>
  <si>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</si>
  <si>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</si>
  <si>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</si>
  <si>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</si>
  <si>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</si>
  <si>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</si>
  <si>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</si>
  <si>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</si>
  <si>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</si>
  <si>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</si>
  <si>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</si>
  <si>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</si>
  <si>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</si>
  <si>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</si>
  <si>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</si>
  <si>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</si>
  <si>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</si>
  <si>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</si>
  <si>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</si>
  <si>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</si>
  <si>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</si>
  <si>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</si>
  <si>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</si>
  <si>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</si>
  <si>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</si>
  <si>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</si>
  <si>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</si>
  <si>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</si>
  <si>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</si>
  <si>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</si>
  <si>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</si>
  <si>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</si>
  <si>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</si>
  <si>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</si>
  <si>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</si>
  <si>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</si>
  <si>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</si>
  <si>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</si>
  <si>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</si>
  <si>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</si>
  <si>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</si>
  <si>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</si>
  <si>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</si>
  <si>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</si>
  <si>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</si>
  <si>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</si>
  <si>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</si>
  <si>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</si>
  <si>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</si>
  <si>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</si>
  <si>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</si>
  <si>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</si>
  <si>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</si>
  <si>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</si>
  <si>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</si>
  <si>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</si>
  <si>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</si>
  <si>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</si>
  <si>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</si>
  <si>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</si>
  <si>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</si>
  <si>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</si>
  <si>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</si>
  <si>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</si>
  <si>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</si>
  <si>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</si>
  <si>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</si>
  <si>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</si>
  <si>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</si>
  <si>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</si>
  <si>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</si>
  <si>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</si>
  <si>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</si>
  <si>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</si>
  <si>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</si>
  <si>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</si>
  <si>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</si>
  <si>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</si>
  <si>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</si>
  <si>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</si>
  <si>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</si>
  <si>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</si>
  <si>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</si>
  <si>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</si>
  <si>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</si>
  <si>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</si>
  <si>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</si>
  <si>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</si>
  <si>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</si>
  <si>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</si>
  <si>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</si>
  <si>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</si>
  <si>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</si>
  <si>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</si>
  <si>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</si>
  <si>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</si>
  <si>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</si>
  <si>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</si>
  <si>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</si>
  <si>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</si>
  <si>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</si>
  <si>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</si>
  <si>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</si>
  <si>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</si>
  <si>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</si>
  <si>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</si>
  <si>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</si>
  <si>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</si>
  <si>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</si>
  <si>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</si>
  <si>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</si>
  <si>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</si>
  <si>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</si>
  <si>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</si>
  <si>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</si>
  <si>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</si>
  <si>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</si>
  <si>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</si>
  <si>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</si>
  <si>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</si>
  <si>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</si>
  <si>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</si>
  <si>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</si>
  <si>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</si>
  <si>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</si>
  <si>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</si>
  <si>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</si>
  <si>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</si>
  <si>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</si>
  <si>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</si>
  <si>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</si>
  <si>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</si>
  <si>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</si>
  <si>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</si>
  <si>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</si>
  <si>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</si>
  <si>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</si>
  <si>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</si>
  <si>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</si>
  <si>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</si>
  <si>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</si>
  <si>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</si>
  <si>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</si>
  <si>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</si>
  <si>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</si>
  <si>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</si>
  <si>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</si>
  <si>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</si>
  <si>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</si>
  <si>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</si>
  <si>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</si>
  <si>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</si>
  <si>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</si>
  <si>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</si>
  <si>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</si>
  <si>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</si>
  <si>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</si>
  <si>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</si>
  <si>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</si>
  <si>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</si>
  <si>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</si>
  <si>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</si>
  <si>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</si>
  <si>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</si>
  <si>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</si>
  <si>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</si>
  <si>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</si>
  <si>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</si>
  <si>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</si>
  <si>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</si>
  <si>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</si>
  <si>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</si>
  <si>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</si>
  <si>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</si>
  <si>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</si>
  <si>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</si>
  <si>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</si>
  <si>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</si>
  <si>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</si>
  <si>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</si>
  <si>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</si>
  <si>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</si>
  <si>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</si>
  <si>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</si>
  <si>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</si>
  <si>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</si>
  <si>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</si>
  <si>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</si>
  <si>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</si>
  <si>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</si>
  <si>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</si>
  <si>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</si>
  <si>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</si>
  <si>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</si>
  <si>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</si>
  <si>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</si>
  <si>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</si>
  <si>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</si>
  <si>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</si>
  <si>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</si>
  <si>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</si>
  <si>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</si>
  <si>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</si>
  <si>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</si>
  <si>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</si>
  <si>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</si>
  <si>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</si>
  <si>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</si>
  <si>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</si>
  <si>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</si>
  <si>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</si>
  <si>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</si>
  <si>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</si>
  <si>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</si>
  <si>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</si>
  <si>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</si>
  <si>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</si>
  <si>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</si>
  <si>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</si>
  <si>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</si>
  <si>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</si>
  <si>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</si>
  <si>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</si>
  <si>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</si>
  <si>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</si>
  <si>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</si>
  <si>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</si>
  <si>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</si>
  <si>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</si>
  <si>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</si>
  <si>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</si>
  <si>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</si>
  <si>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</si>
  <si>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</si>
  <si>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</si>
  <si>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</si>
  <si>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</si>
  <si>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</si>
  <si>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</si>
  <si>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</si>
  <si>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</si>
  <si>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</si>
  <si>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</si>
  <si>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</si>
  <si>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</si>
  <si>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</si>
  <si>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</si>
  <si>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</si>
  <si>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</si>
  <si>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</si>
  <si>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</si>
  <si>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</si>
  <si>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</si>
  <si>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</si>
  <si>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</si>
  <si>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</si>
  <si>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</si>
  <si>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</si>
  <si>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</si>
  <si>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</si>
  <si>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</si>
  <si>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</si>
  <si>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</si>
  <si>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</si>
  <si>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</si>
  <si>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</si>
  <si>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</si>
  <si>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</si>
  <si>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</si>
  <si>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</si>
  <si>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</si>
  <si>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</si>
  <si>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</si>
  <si>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</si>
  <si>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</si>
  <si>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</si>
  <si>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</si>
  <si>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</si>
  <si>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</si>
  <si>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</si>
  <si>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</si>
  <si>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</si>
  <si>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</si>
  <si>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</si>
  <si>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</si>
  <si>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</si>
  <si>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</si>
  <si>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</si>
  <si>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</si>
  <si>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</si>
  <si>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</si>
  <si>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</si>
  <si>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</si>
  <si>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</si>
  <si>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</si>
  <si>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</si>
  <si>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</si>
  <si>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</si>
  <si>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</si>
  <si>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</si>
  <si>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</si>
  <si>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</si>
  <si>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</si>
  <si>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</si>
  <si>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</si>
  <si>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</si>
  <si>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</si>
  <si>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</si>
  <si>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</si>
  <si>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</si>
  <si>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</si>
  <si>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</si>
  <si>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</si>
  <si>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</si>
  <si>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</si>
  <si>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</si>
  <si>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</si>
  <si>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</si>
  <si>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</si>
  <si>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</si>
  <si>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</si>
  <si>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</si>
  <si>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</si>
  <si>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</si>
  <si>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</si>
  <si>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</si>
  <si>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</si>
  <si>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</si>
  <si>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</si>
  <si>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</si>
  <si>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</si>
  <si>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</si>
  <si>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</si>
  <si>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</si>
  <si>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</si>
  <si>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</si>
  <si>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</si>
  <si>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</si>
  <si>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</si>
  <si>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</si>
  <si>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</si>
  <si>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</si>
  <si>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</si>
  <si>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</si>
  <si>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</si>
  <si>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</si>
  <si>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</si>
  <si>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</si>
  <si>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</si>
  <si>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</si>
  <si>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</si>
  <si>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</si>
  <si>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</si>
  <si>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</si>
  <si>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</si>
  <si>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</si>
  <si>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</si>
  <si>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</si>
  <si>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</si>
  <si>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</si>
  <si>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</si>
  <si>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</si>
  <si>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</si>
  <si>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</si>
  <si>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</si>
  <si>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</si>
  <si>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</si>
  <si>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</si>
  <si>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</si>
  <si>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</si>
  <si>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</si>
  <si>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</si>
  <si>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</si>
  <si>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</si>
  <si>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</si>
  <si>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</si>
  <si>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</si>
  <si>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</si>
  <si>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</si>
  <si>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</si>
  <si>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</si>
  <si>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</si>
  <si>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</si>
  <si>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</si>
  <si>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</si>
  <si>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</si>
  <si>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</si>
  <si>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</si>
  <si>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</si>
  <si>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</si>
  <si>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</si>
  <si>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</si>
  <si>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</si>
  <si>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</si>
  <si>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</si>
  <si>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</si>
  <si>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</si>
  <si>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</si>
  <si>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</si>
  <si>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</si>
  <si>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</si>
  <si>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</si>
  <si>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</si>
  <si>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</si>
  <si>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</si>
  <si>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</si>
  <si>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</si>
  <si>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</si>
  <si>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</si>
  <si>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</si>
  <si>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</si>
  <si>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</si>
  <si>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</si>
  <si>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</si>
  <si>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</si>
  <si>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</si>
  <si>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</si>
  <si>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</si>
  <si>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</si>
  <si>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</si>
  <si>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</si>
  <si>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</si>
  <si>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</si>
  <si>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</si>
  <si>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</si>
  <si>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</si>
  <si>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</si>
  <si>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</si>
  <si>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</si>
  <si>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</si>
  <si>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</si>
  <si>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</si>
  <si>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</si>
  <si>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</si>
  <si>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</si>
  <si>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</si>
  <si>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</si>
  <si>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</si>
  <si>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</si>
  <si>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</si>
  <si>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</si>
  <si>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</si>
  <si>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</si>
  <si>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</si>
  <si>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</si>
  <si>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</si>
  <si>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</si>
  <si>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</si>
  <si>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</si>
  <si>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</si>
  <si>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</si>
  <si>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</si>
  <si>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</si>
  <si>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</si>
  <si>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</si>
  <si>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</si>
  <si>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</si>
  <si>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</si>
  <si>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</si>
  <si>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</si>
  <si>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</si>
  <si>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</si>
  <si>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</si>
  <si>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</si>
  <si>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</si>
  <si>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</si>
  <si>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</si>
  <si>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</si>
  <si>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</si>
  <si>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</si>
  <si>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</si>
  <si>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</si>
  <si>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</si>
  <si>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</si>
  <si>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</si>
  <si>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</si>
  <si>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</si>
  <si>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</si>
  <si>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</si>
  <si>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</si>
  <si>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</si>
  <si>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</si>
  <si>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</si>
  <si>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</si>
  <si>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</si>
  <si>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</si>
  <si>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</si>
  <si>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</si>
  <si>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</si>
  <si>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</si>
  <si>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</si>
  <si>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</si>
  <si>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</si>
  <si>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</si>
  <si>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</si>
  <si>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</si>
  <si>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</si>
  <si>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</si>
  <si>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</si>
  <si>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</si>
  <si>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</si>
  <si>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</si>
  <si>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</si>
  <si>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</si>
  <si>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</si>
  <si>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</si>
  <si>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</si>
  <si>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</si>
  <si>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</si>
  <si>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</si>
  <si>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</si>
  <si>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</si>
  <si>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</si>
  <si>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</si>
  <si>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</si>
  <si>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</si>
  <si>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</si>
  <si>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</si>
  <si>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</si>
  <si>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</si>
  <si>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</si>
  <si>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</si>
  <si>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</si>
  <si>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</si>
  <si>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</si>
  <si>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</si>
  <si>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</si>
  <si>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</si>
  <si>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</si>
  <si>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</si>
  <si>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</si>
  <si>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</si>
  <si>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</si>
  <si>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</si>
  <si>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</si>
  <si>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</si>
  <si>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</si>
  <si>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</si>
  <si>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</si>
  <si>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</si>
  <si>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</si>
  <si>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</si>
  <si>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</si>
  <si>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</si>
  <si>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</si>
  <si>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</si>
  <si>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</si>
  <si>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</si>
  <si>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</si>
  <si>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</si>
  <si>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</si>
  <si>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</si>
  <si>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</si>
  <si>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</si>
  <si>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</si>
  <si>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</si>
  <si>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</si>
  <si>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</si>
  <si>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</si>
  <si>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</si>
  <si>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</si>
  <si>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</si>
  <si>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</si>
  <si>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</si>
  <si>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</si>
  <si>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</si>
  <si>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</si>
  <si>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</si>
  <si>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</si>
  <si>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</si>
  <si>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</si>
  <si>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</si>
  <si>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</si>
  <si>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</si>
  <si>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</si>
  <si>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</si>
  <si>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</si>
  <si>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</si>
  <si>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</si>
  <si>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</si>
  <si>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</si>
  <si>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</si>
  <si>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</si>
  <si>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</si>
  <si>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</si>
  <si>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</si>
  <si>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</si>
  <si>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</si>
  <si>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</si>
  <si>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</si>
  <si>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</si>
  <si>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</si>
  <si>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</si>
  <si>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</si>
  <si>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</si>
  <si>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</si>
  <si>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</si>
  <si>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</si>
  <si>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</si>
  <si>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</si>
  <si>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</si>
  <si>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</si>
  <si>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</si>
  <si>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</si>
  <si>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</si>
  <si>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</si>
  <si>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</si>
  <si>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</si>
  <si>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</si>
  <si>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</si>
  <si>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</si>
  <si>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</si>
  <si>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</si>
  <si>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</si>
  <si>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</si>
  <si>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</si>
  <si>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</si>
  <si>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</si>
  <si>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</si>
  <si>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</si>
  <si>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</si>
  <si>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</si>
  <si>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</si>
  <si>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</si>
  <si>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</si>
  <si>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</si>
  <si>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</si>
  <si>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</si>
  <si>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</si>
  <si>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</si>
  <si>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</si>
  <si>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</si>
  <si>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</si>
  <si>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</si>
  <si>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</si>
  <si>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</si>
  <si>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</si>
  <si>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</si>
  <si>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</si>
  <si>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</si>
  <si>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</si>
  <si>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</si>
  <si>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</si>
  <si>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</si>
  <si>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</si>
  <si>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</si>
  <si>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</si>
  <si>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</si>
  <si>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</si>
  <si>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</si>
  <si>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</si>
  <si>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</si>
  <si>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</si>
  <si>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</si>
  <si>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</si>
  <si>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</si>
  <si>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</si>
  <si>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</si>
  <si>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</si>
  <si>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</si>
  <si>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</si>
  <si>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</si>
  <si>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</si>
  <si>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</si>
  <si>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</si>
  <si>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</si>
  <si>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</si>
  <si>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</si>
  <si>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</si>
  <si>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</si>
  <si>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</si>
  <si>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</si>
  <si>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</si>
  <si>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</si>
  <si>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</si>
  <si>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</si>
  <si>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</si>
  <si>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</si>
  <si>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</si>
  <si>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</si>
  <si>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</si>
  <si>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</si>
  <si>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</si>
  <si>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</si>
  <si>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</si>
  <si>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</si>
  <si>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</si>
  <si>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</si>
  <si>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</si>
  <si>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</si>
  <si>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</si>
  <si>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</si>
  <si>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</si>
  <si>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</si>
  <si>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</si>
  <si>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</si>
  <si>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</si>
  <si>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</si>
  <si>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</si>
  <si>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</si>
  <si>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</si>
  <si>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</si>
  <si>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</si>
  <si>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</si>
  <si>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</si>
  <si>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</si>
  <si>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</si>
  <si>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</si>
  <si>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</si>
  <si>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</si>
  <si>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</si>
  <si>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</si>
  <si>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</si>
  <si>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</si>
  <si>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</si>
  <si>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</si>
  <si>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</si>
  <si>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</si>
  <si>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</si>
  <si>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</si>
  <si>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</si>
  <si>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</si>
  <si>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</si>
  <si>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</si>
  <si>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</si>
  <si>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</si>
  <si>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</si>
  <si>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</si>
  <si>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</si>
  <si>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</si>
  <si>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</si>
  <si>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</si>
  <si>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</si>
  <si>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</si>
  <si>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</si>
  <si>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</si>
  <si>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</si>
  <si>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</si>
  <si>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</si>
  <si>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</si>
  <si>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</si>
  <si>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</si>
  <si>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</si>
  <si>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</si>
  <si>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</si>
  <si>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</si>
  <si>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</si>
  <si>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</si>
  <si>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</si>
  <si>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</si>
  <si>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</si>
  <si>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</si>
  <si>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</si>
  <si>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</si>
  <si>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</si>
  <si>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</si>
  <si>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</si>
  <si>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</si>
  <si>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</si>
  <si>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</si>
  <si>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</si>
  <si>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</si>
  <si>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</si>
  <si>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</si>
  <si>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</si>
  <si>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</si>
  <si>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</si>
  <si>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</si>
  <si>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</si>
  <si>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</si>
  <si>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</si>
  <si>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</si>
  <si>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</si>
  <si>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</si>
  <si>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</si>
  <si>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</si>
  <si>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</si>
  <si>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</si>
  <si>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</si>
  <si>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</si>
  <si>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</si>
  <si>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</si>
  <si>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</si>
  <si>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</si>
  <si>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</si>
  <si>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</si>
  <si>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</si>
  <si>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</si>
  <si>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</si>
  <si>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</si>
  <si>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</si>
  <si>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</si>
  <si>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</si>
  <si>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</si>
  <si>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</si>
  <si>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</si>
  <si>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</si>
  <si>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</si>
  <si>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</si>
  <si>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</si>
  <si>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</si>
  <si>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</si>
  <si>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</si>
  <si>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</si>
  <si>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</si>
  <si>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</si>
  <si>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</si>
  <si>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</si>
  <si>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</si>
  <si>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</si>
  <si>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</si>
  <si>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</si>
  <si>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</si>
  <si>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</si>
  <si>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</si>
  <si>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</si>
  <si>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</si>
  <si>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</si>
  <si>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</si>
  <si>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</si>
  <si>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</si>
  <si>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</si>
  <si>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</si>
  <si>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</si>
  <si>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</si>
  <si>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</si>
  <si>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</si>
  <si>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</si>
  <si>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</si>
  <si>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</si>
  <si>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</si>
  <si>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</si>
  <si>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</si>
  <si>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</si>
  <si>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</si>
  <si>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</si>
  <si>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</si>
  <si>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</si>
  <si>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</si>
  <si>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</si>
  <si>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</si>
  <si>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</si>
  <si>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</si>
  <si>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</si>
  <si>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</si>
  <si>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</si>
  <si>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</si>
  <si>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</si>
  <si>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</si>
  <si>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</si>
  <si>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</si>
  <si>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</si>
  <si>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</si>
  <si>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</si>
  <si>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</si>
  <si>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</si>
  <si>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</si>
  <si>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</si>
  <si>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</si>
  <si>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</si>
  <si>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</si>
  <si>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</si>
  <si>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</si>
  <si>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</si>
  <si>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</si>
  <si>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</si>
  <si>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</si>
  <si>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</si>
  <si>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</si>
  <si>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</si>
  <si>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</si>
  <si>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</si>
  <si>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</si>
  <si>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</si>
  <si>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</si>
  <si>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</si>
  <si>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</si>
  <si>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</si>
  <si>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</si>
  <si>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</si>
  <si>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</si>
  <si>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</si>
  <si>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</si>
  <si>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</si>
  <si>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</si>
  <si>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</si>
  <si>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</si>
  <si>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</si>
  <si>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</si>
  <si>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</si>
  <si>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</si>
  <si>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</si>
  <si>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</si>
  <si>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</si>
  <si>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</si>
  <si>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</si>
  <si>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</si>
  <si>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</si>
  <si>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</si>
  <si>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</si>
  <si>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</si>
  <si>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</si>
  <si>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</si>
  <si>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</si>
  <si>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</si>
  <si>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</si>
  <si>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</si>
  <si>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</si>
  <si>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</si>
  <si>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</si>
  <si>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</si>
  <si>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</si>
  <si>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</si>
  <si>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</si>
  <si>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</si>
  <si>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</si>
  <si>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</si>
  <si>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</si>
  <si>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</si>
  <si>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</si>
  <si>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</si>
  <si>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</si>
  <si>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</si>
  <si>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</si>
  <si>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</si>
  <si>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</si>
  <si>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</si>
  <si>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</si>
  <si>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</si>
  <si>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</si>
  <si>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</si>
  <si>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</si>
  <si>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</si>
  <si>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</si>
  <si>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</si>
  <si>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</si>
  <si>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</si>
  <si>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</si>
  <si>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</si>
  <si>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</si>
  <si>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</si>
  <si>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</si>
  <si>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</si>
  <si>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</si>
  <si>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</si>
  <si>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</si>
  <si>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</si>
  <si>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</si>
  <si>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</si>
  <si>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</si>
  <si>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</si>
  <si>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</si>
  <si>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</si>
  <si>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</si>
  <si>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</si>
  <si>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</si>
  <si>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</si>
  <si>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</si>
  <si>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</si>
  <si>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</si>
  <si>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</si>
  <si>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</si>
  <si>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</si>
  <si>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</si>
  <si>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</si>
  <si>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</si>
  <si>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</si>
  <si>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</si>
  <si>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</si>
  <si>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</si>
  <si>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</si>
  <si>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</si>
  <si>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</si>
  <si>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</si>
  <si>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</si>
  <si>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</si>
  <si>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</si>
  <si>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</si>
  <si>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</si>
  <si>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</si>
  <si>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</si>
  <si>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</si>
  <si>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</si>
  <si>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</si>
  <si>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</si>
  <si>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</si>
  <si>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</si>
  <si>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</si>
  <si>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</si>
  <si>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</si>
  <si>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</si>
  <si>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</si>
  <si>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</si>
  <si>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</si>
  <si>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</si>
  <si>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</si>
  <si>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</si>
  <si>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</si>
  <si>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</si>
  <si>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</si>
  <si>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</si>
  <si>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</si>
  <si>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</si>
  <si>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</si>
  <si>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</si>
  <si>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</si>
  <si>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</si>
  <si>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</si>
  <si>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</si>
  <si>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</si>
  <si>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</si>
  <si>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</si>
  <si>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</si>
  <si>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</si>
  <si>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</si>
  <si>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</si>
  <si>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</si>
  <si>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</si>
  <si>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</si>
  <si>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</si>
  <si>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</si>
  <si>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</si>
  <si>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</si>
  <si>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</si>
  <si>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</si>
  <si>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</si>
  <si>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</si>
  <si>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</si>
  <si>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</si>
  <si>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</si>
  <si>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</si>
  <si>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</si>
  <si>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</si>
  <si>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</si>
  <si>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</si>
  <si>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</si>
  <si>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</si>
  <si>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</si>
  <si>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</si>
  <si>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</si>
  <si>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</si>
  <si>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</si>
  <si>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</si>
  <si>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</si>
  <si>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</si>
  <si>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</si>
  <si>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</si>
  <si>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</si>
  <si>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</si>
  <si>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</si>
  <si>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</si>
  <si>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</si>
  <si>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</si>
  <si>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</si>
  <si>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</si>
  <si>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</si>
  <si>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</si>
  <si>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</si>
  <si>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</si>
  <si>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</si>
  <si>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</si>
  <si>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</si>
  <si>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</si>
  <si>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</si>
  <si>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</si>
  <si>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</si>
  <si>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</si>
  <si>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</si>
  <si>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</si>
  <si>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</si>
  <si>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</si>
  <si>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</si>
  <si>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</si>
  <si>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</si>
  <si>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</si>
  <si>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</si>
  <si>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</si>
  <si>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</si>
  <si>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</si>
  <si>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</si>
  <si>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</si>
  <si>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</si>
  <si>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</si>
  <si>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</si>
  <si>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</si>
  <si>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</si>
  <si>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</si>
  <si>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</si>
  <si>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</si>
  <si>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</si>
  <si>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</si>
  <si>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</si>
  <si>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</si>
  <si>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</si>
  <si>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</si>
  <si>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</si>
  <si>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</si>
  <si>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</si>
  <si>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</si>
  <si>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</si>
  <si>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</si>
  <si>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</si>
  <si>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</si>
  <si>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</si>
  <si>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</si>
  <si>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</si>
  <si>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</si>
  <si>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</si>
  <si>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</si>
  <si>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</si>
  <si>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</si>
  <si>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</si>
  <si>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</si>
  <si>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</si>
  <si>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</si>
  <si>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</si>
  <si>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</si>
  <si>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</si>
  <si>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</si>
  <si>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</si>
  <si>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</si>
  <si>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</si>
  <si>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</si>
  <si>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</si>
  <si>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</si>
  <si>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</si>
  <si>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</si>
  <si>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</si>
  <si>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</si>
  <si>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</si>
  <si>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</si>
  <si>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</si>
  <si>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</si>
  <si>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</si>
  <si>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</si>
  <si>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</si>
  <si>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</si>
  <si>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</si>
  <si>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</si>
  <si>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</si>
  <si>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</si>
  <si>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</si>
  <si>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</si>
  <si>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</si>
  <si>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</si>
  <si>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</si>
  <si>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</si>
  <si>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</si>
  <si>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</si>
  <si>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</si>
  <si>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</si>
  <si>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</si>
  <si>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</si>
  <si>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</si>
  <si>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</si>
  <si>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</si>
  <si>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</si>
  <si>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</si>
  <si>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</si>
  <si>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</si>
  <si>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</si>
  <si>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</si>
  <si>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</si>
  <si>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</si>
  <si>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</si>
  <si>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</si>
  <si>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</si>
  <si>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</si>
  <si>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</si>
  <si>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</si>
  <si>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</si>
  <si>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</si>
  <si>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</si>
  <si>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</si>
  <si>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</si>
  <si>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</si>
  <si>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</si>
  <si>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</si>
  <si>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</si>
  <si>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</si>
  <si>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</si>
  <si>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</si>
  <si>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</si>
  <si>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</si>
  <si>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</si>
  <si>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</si>
  <si>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</si>
  <si>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</si>
  <si>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</si>
  <si>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</si>
  <si>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</si>
  <si>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</si>
  <si>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</si>
  <si>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</si>
  <si>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</si>
  <si>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</si>
  <si>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</si>
  <si>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</si>
  <si>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</si>
  <si>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</si>
  <si>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</si>
  <si>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</si>
  <si>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</si>
  <si>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</si>
  <si>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</si>
  <si>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</si>
  <si>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</si>
  <si>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</si>
  <si>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</si>
  <si>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</si>
  <si>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</si>
  <si>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</si>
  <si>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</si>
  <si>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</si>
  <si>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</si>
  <si>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</si>
  <si>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</si>
  <si>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</si>
  <si>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</si>
  <si>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</si>
  <si>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</si>
  <si>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</si>
  <si>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</si>
  <si>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</si>
  <si>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</si>
  <si>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</si>
  <si>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</si>
  <si>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</si>
  <si>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</si>
  <si>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</si>
  <si>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</si>
  <si>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</si>
  <si>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</si>
  <si>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</si>
  <si>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</si>
  <si>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</si>
  <si>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</si>
  <si>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</si>
  <si>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</si>
  <si>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</si>
  <si>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</si>
  <si>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</si>
  <si>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</si>
  <si>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</si>
  <si>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</si>
  <si>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</si>
  <si>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</si>
  <si>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</si>
  <si>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</si>
  <si>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</si>
  <si>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</si>
  <si>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</si>
  <si>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</si>
  <si>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</si>
  <si>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</si>
  <si>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</si>
  <si>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</si>
  <si>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</si>
  <si>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</si>
  <si>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</si>
  <si>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</si>
  <si>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</si>
  <si>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</si>
  <si>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</si>
  <si>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</si>
  <si>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</si>
  <si>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</si>
  <si>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</si>
  <si>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</si>
  <si>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</si>
  <si>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</si>
  <si>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</si>
  <si>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</si>
  <si>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</si>
  <si>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</si>
  <si>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</si>
  <si>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</si>
  <si>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</si>
  <si>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</si>
  <si>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</si>
  <si>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</si>
  <si>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</si>
  <si>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</si>
  <si>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</si>
  <si>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</si>
  <si>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</si>
  <si>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</si>
  <si>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</si>
  <si>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</si>
  <si>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</si>
  <si>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</si>
  <si>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</si>
  <si>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</si>
  <si>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</si>
  <si>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</si>
  <si>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</si>
  <si>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</si>
  <si>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</si>
  <si>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</si>
  <si>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</si>
  <si>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</si>
  <si>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</si>
  <si>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</si>
  <si>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</si>
  <si>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</si>
  <si>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</si>
  <si>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</si>
  <si>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</si>
  <si>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</si>
  <si>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</si>
  <si>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</si>
  <si>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</si>
  <si>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</si>
  <si>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</si>
  <si>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</si>
  <si>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</si>
  <si>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</si>
  <si>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</si>
  <si>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</si>
  <si>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</si>
  <si>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</si>
  <si>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</si>
  <si>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</si>
  <si>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</si>
  <si>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</si>
  <si>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</si>
  <si>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</si>
  <si>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</si>
  <si>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</si>
  <si>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</si>
  <si>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</si>
  <si>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</si>
  <si>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</si>
  <si>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</si>
  <si>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</si>
  <si>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</si>
  <si>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</si>
  <si>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</si>
  <si>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</si>
  <si>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</si>
  <si>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</si>
  <si>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</si>
  <si>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</si>
  <si>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</si>
  <si>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</si>
  <si>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</si>
  <si>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</si>
  <si>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</si>
  <si>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</si>
  <si>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</si>
  <si>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</si>
  <si>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</si>
  <si>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</si>
  <si>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</si>
  <si>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</si>
  <si>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</si>
  <si>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</si>
  <si>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</si>
  <si>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</si>
  <si>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</si>
  <si>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</si>
  <si>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</si>
  <si>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</si>
  <si>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</si>
  <si>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</si>
  <si>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</si>
  <si>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</si>
  <si>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</si>
  <si>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</si>
  <si>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</si>
  <si>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</si>
  <si>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</si>
  <si>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</si>
  <si>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</si>
  <si>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</si>
  <si>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</si>
  <si>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</si>
  <si>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</si>
  <si>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</si>
  <si>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</si>
  <si>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</si>
  <si>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</si>
  <si>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</si>
  <si>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</si>
  <si>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</si>
  <si>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</si>
  <si>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</si>
  <si>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</si>
  <si>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</si>
  <si>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</si>
  <si>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</si>
  <si>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</si>
  <si>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</si>
  <si>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</si>
  <si>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</si>
  <si>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</si>
  <si>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</si>
  <si>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</si>
  <si>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</si>
  <si>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</si>
  <si>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</si>
  <si>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</si>
  <si>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</si>
  <si>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</si>
  <si>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</si>
  <si>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</si>
  <si>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</si>
  <si>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</si>
  <si>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</si>
  <si>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</si>
  <si>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</si>
  <si>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</si>
  <si>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</si>
  <si>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</si>
  <si>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</si>
  <si>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</si>
  <si>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</si>
  <si>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</si>
  <si>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</si>
  <si>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</si>
  <si>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</si>
  <si>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</si>
  <si>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</si>
  <si>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</si>
  <si>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</si>
  <si>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</si>
  <si>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</si>
  <si>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</si>
  <si>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</si>
  <si>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</si>
  <si>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</si>
  <si>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</si>
  <si>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</si>
  <si>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</si>
  <si>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</si>
  <si>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</si>
  <si>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</si>
  <si>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</si>
  <si>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</si>
  <si>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</si>
  <si>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</si>
  <si>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</si>
  <si>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</si>
  <si>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</si>
  <si>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</si>
  <si>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</si>
  <si>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</si>
  <si>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</si>
  <si>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</si>
  <si>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</si>
  <si>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</si>
  <si>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</si>
  <si>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</si>
  <si>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</si>
  <si>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</si>
  <si>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</si>
  <si>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</si>
  <si>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</si>
  <si>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</si>
  <si>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</si>
  <si>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</si>
  <si>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</si>
  <si>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</si>
  <si>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</si>
  <si>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</si>
  <si>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</si>
  <si>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</si>
  <si>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</si>
  <si>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</si>
  <si>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</si>
  <si>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</si>
  <si>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</si>
  <si>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</si>
  <si>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</si>
  <si>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</si>
  <si>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</si>
  <si>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</si>
  <si>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</si>
  <si>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</si>
  <si>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</si>
  <si>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</si>
  <si>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</si>
  <si>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</si>
  <si>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</si>
  <si>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</si>
  <si>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</si>
  <si>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</si>
  <si>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</si>
  <si>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</si>
  <si>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</si>
  <si>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</si>
  <si>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</si>
  <si>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</si>
  <si>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</si>
  <si>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</si>
  <si>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</si>
  <si>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</si>
  <si>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</si>
  <si>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</si>
  <si>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</si>
  <si>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</si>
  <si>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</si>
  <si>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</si>
  <si>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</si>
  <si>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</si>
  <si>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</si>
  <si>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</si>
  <si>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</si>
  <si>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</si>
  <si>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</si>
  <si>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</si>
  <si>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</si>
  <si>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</si>
  <si>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</si>
  <si>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</si>
  <si>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</si>
  <si>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</si>
  <si>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</si>
  <si>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</si>
  <si>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</si>
  <si>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</si>
  <si>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</si>
  <si>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</si>
  <si>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</si>
  <si>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</si>
  <si>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</si>
  <si>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</si>
  <si>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</si>
  <si>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</si>
  <si>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</si>
  <si>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</si>
  <si>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</si>
  <si>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</si>
  <si>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</si>
  <si>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</si>
  <si>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</si>
  <si>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</si>
  <si>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</si>
  <si>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</si>
  <si>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</si>
  <si>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</si>
  <si>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</si>
  <si>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</si>
  <si>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</si>
  <si>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</si>
  <si>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</si>
  <si>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</si>
  <si>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</si>
  <si>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</si>
  <si>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</si>
  <si>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</si>
  <si>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</si>
  <si>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</si>
  <si>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</si>
  <si>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</si>
  <si>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</si>
  <si>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</si>
  <si>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</si>
  <si>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</si>
  <si>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</si>
  <si>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</si>
  <si>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</si>
  <si>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</si>
  <si>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</si>
  <si>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</si>
  <si>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</si>
  <si>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</si>
  <si>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</si>
  <si>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</si>
  <si>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</si>
  <si>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</si>
  <si>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</si>
  <si>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</si>
  <si>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</si>
  <si>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</si>
  <si>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</si>
  <si>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</si>
  <si>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</si>
  <si>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</si>
  <si>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</si>
  <si>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</si>
  <si>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</si>
  <si>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</si>
  <si>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</si>
  <si>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</si>
  <si>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</si>
  <si>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</si>
  <si>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</si>
  <si>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</si>
  <si>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</si>
  <si>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</si>
  <si>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</si>
  <si>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</si>
  <si>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</si>
  <si>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</si>
  <si>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</si>
  <si>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</si>
  <si>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</si>
  <si>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</si>
  <si>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</si>
  <si>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</si>
  <si>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</si>
  <si>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</si>
  <si>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</si>
  <si>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</si>
  <si>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</si>
  <si>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</si>
  <si>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</si>
  <si>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</si>
  <si>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</si>
  <si>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</si>
  <si>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</si>
  <si>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</si>
  <si>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</si>
  <si>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</si>
  <si>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</si>
  <si>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</si>
  <si>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</si>
  <si>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</si>
  <si>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</si>
  <si>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</si>
  <si>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</si>
  <si>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</si>
  <si>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</si>
  <si>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</si>
  <si>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</si>
  <si>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</si>
  <si>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</si>
  <si>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</si>
  <si>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</si>
  <si>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</si>
  <si>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</si>
  <si>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</si>
  <si>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</si>
  <si>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</si>
  <si>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</si>
  <si>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</si>
  <si>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</si>
  <si>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</si>
  <si>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</si>
  <si>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</si>
  <si>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</si>
  <si>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</si>
  <si>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</si>
  <si>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</si>
  <si>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</si>
  <si>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</si>
  <si>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</si>
  <si>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</si>
  <si>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</si>
  <si>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</si>
  <si>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</si>
  <si>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</si>
  <si>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</si>
  <si>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</si>
  <si>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</si>
  <si>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</si>
  <si>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</si>
  <si>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</si>
  <si>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</si>
  <si>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</si>
  <si>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</si>
  <si>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</si>
  <si>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</si>
  <si>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</si>
  <si>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</si>
  <si>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</si>
  <si>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</si>
  <si>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</si>
  <si>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</si>
  <si>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</si>
  <si>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</si>
  <si>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</si>
  <si>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</si>
  <si>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</si>
  <si>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</si>
  <si>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</si>
  <si>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</si>
  <si>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</si>
  <si>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</si>
  <si>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</si>
  <si>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</si>
  <si>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</si>
  <si>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</si>
  <si>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</si>
  <si>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</si>
  <si>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</si>
  <si>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</si>
  <si>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</si>
  <si>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</si>
  <si>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</si>
  <si>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</si>
  <si>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</si>
  <si>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</si>
  <si>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</si>
  <si>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</si>
  <si>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</si>
  <si>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</si>
  <si>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</si>
  <si>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</si>
  <si>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</si>
  <si>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</si>
  <si>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</si>
  <si>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</si>
  <si>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</si>
  <si>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</si>
  <si>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</si>
  <si>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</si>
  <si>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</si>
  <si>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</si>
  <si>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</si>
  <si>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</si>
  <si>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</si>
  <si>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</si>
  <si>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</si>
  <si>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</si>
  <si>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</si>
  <si>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</si>
  <si>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</si>
  <si>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</si>
  <si>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</si>
  <si>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</si>
  <si>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</si>
  <si>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</si>
  <si>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</si>
  <si>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</si>
  <si>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</si>
  <si>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</si>
  <si>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</si>
  <si>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</si>
  <si>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</si>
  <si>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</si>
  <si>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</si>
  <si>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</si>
  <si>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</si>
  <si>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</si>
  <si>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</si>
  <si>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</si>
  <si>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</si>
  <si>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</si>
  <si>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</si>
  <si>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</si>
  <si>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</si>
  <si>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</si>
  <si>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</si>
  <si>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</si>
  <si>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</si>
  <si>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</si>
  <si>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</si>
  <si>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</si>
  <si>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</si>
  <si>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</si>
  <si>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</si>
  <si>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</si>
  <si>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</si>
  <si>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</si>
  <si>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</si>
  <si>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</si>
  <si>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</si>
  <si>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</si>
  <si>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</si>
  <si>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</si>
  <si>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</si>
  <si>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</si>
  <si>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</si>
  <si>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</si>
  <si>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</si>
  <si>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</si>
  <si>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</si>
  <si>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</si>
  <si>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</si>
  <si>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</si>
  <si>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</si>
  <si>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</si>
  <si>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</si>
  <si>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</si>
  <si>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</si>
  <si>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</si>
  <si>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</si>
  <si>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</si>
  <si>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</si>
  <si>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</si>
  <si>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</si>
  <si>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</si>
  <si>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</si>
  <si>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</si>
  <si>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</si>
  <si>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</si>
  <si>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</si>
  <si>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</si>
  <si>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</si>
  <si>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</si>
  <si>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</si>
  <si>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</si>
  <si>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</si>
  <si>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</si>
  <si>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</si>
  <si>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</si>
  <si>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</si>
  <si>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</si>
  <si>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</si>
  <si>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</si>
  <si>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</si>
  <si>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</si>
  <si>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</si>
  <si>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</si>
  <si>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</si>
  <si>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</si>
  <si>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</si>
  <si>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</si>
  <si>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</si>
  <si>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</si>
  <si>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</si>
  <si>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</si>
  <si>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</si>
  <si>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</si>
  <si>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</si>
  <si>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</si>
  <si>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</si>
  <si>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</si>
  <si>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</si>
  <si>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</si>
  <si>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</si>
  <si>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</si>
  <si>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</si>
  <si>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</si>
  <si>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</si>
  <si>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</si>
  <si>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</si>
  <si>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</si>
  <si>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</si>
  <si>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</si>
  <si>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</si>
  <si>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</si>
  <si>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</si>
  <si>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</si>
  <si>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</si>
  <si>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</si>
  <si>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</si>
  <si>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</si>
  <si>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</si>
  <si>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</si>
  <si>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</si>
  <si>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</si>
  <si>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</si>
  <si>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</si>
  <si>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</si>
  <si>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</si>
  <si>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</si>
  <si>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</si>
  <si>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</si>
  <si>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</si>
  <si>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</si>
  <si>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</si>
  <si>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</si>
  <si>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</si>
  <si>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</si>
  <si>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</si>
  <si>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</si>
  <si>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</si>
  <si>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</si>
  <si>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</si>
  <si>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</si>
  <si>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</si>
  <si>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</si>
  <si>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</si>
  <si>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</si>
  <si>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</si>
  <si>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</si>
  <si>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</si>
  <si>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</si>
  <si>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</si>
  <si>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</si>
  <si>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</si>
  <si>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</si>
  <si>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</si>
  <si>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</si>
  <si>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</si>
  <si>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</si>
  <si>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</si>
  <si>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</si>
  <si>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</si>
  <si>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</si>
  <si>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</si>
  <si>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</si>
  <si>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</si>
  <si>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</si>
  <si>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</si>
  <si>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</si>
  <si>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</si>
  <si>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</si>
  <si>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</si>
  <si>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</si>
  <si>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</si>
  <si>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</si>
  <si>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</si>
  <si>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</si>
  <si>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</si>
  <si>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</si>
  <si>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</si>
  <si>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</si>
  <si>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</si>
  <si>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</si>
  <si>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Customer Name</t>
  </si>
  <si>
    <t>Email</t>
  </si>
  <si>
    <t>Phone Number</t>
  </si>
  <si>
    <t>Address Line 1</t>
  </si>
  <si>
    <t>City</t>
  </si>
  <si>
    <t>Country</t>
  </si>
  <si>
    <t>Postcode</t>
  </si>
  <si>
    <t>Loyalty Card</t>
  </si>
  <si>
    <t>Customer ID2</t>
  </si>
  <si>
    <t>Aloisia Allner</t>
  </si>
  <si>
    <t>aallner0@lulu.com</t>
  </si>
  <si>
    <t>+1 (862) 817-0124</t>
  </si>
  <si>
    <t>57999 Pepper Wood Alley</t>
  </si>
  <si>
    <t>Paterson</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</si>
  <si>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</si>
  <si>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</si>
  <si>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</si>
  <si>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</si>
  <si>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</si>
  <si>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</si>
  <si>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</si>
  <si>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</si>
  <si>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</si>
  <si>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</si>
  <si>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</si>
  <si>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</si>
  <si>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</si>
  <si>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</si>
  <si>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</si>
  <si>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</si>
  <si>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</si>
  <si>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</si>
  <si>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</si>
  <si>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</si>
  <si>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</si>
  <si>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</si>
  <si>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</si>
  <si>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</si>
  <si>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</si>
  <si>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</si>
  <si>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</si>
  <si>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</si>
  <si>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</si>
  <si>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</si>
  <si>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</si>
  <si>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</si>
  <si>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</si>
  <si>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</si>
  <si>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</si>
  <si>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</si>
  <si>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</si>
  <si>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</si>
  <si>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</si>
  <si>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</si>
  <si>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</si>
  <si>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</si>
  <si>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</si>
  <si>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</si>
  <si>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</si>
  <si>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</si>
  <si>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</si>
  <si>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</si>
  <si>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</si>
  <si>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</si>
  <si>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</si>
  <si>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</si>
  <si>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</si>
  <si>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</si>
  <si>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</si>
  <si>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</si>
  <si>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</si>
  <si>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</si>
  <si>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</si>
  <si>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</si>
  <si>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</si>
  <si>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</si>
  <si>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</si>
  <si>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</si>
  <si>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</si>
  <si>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</si>
  <si>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</si>
  <si>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</si>
  <si>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</si>
  <si>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</si>
  <si>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</si>
  <si>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</si>
  <si>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</si>
  <si>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</si>
  <si>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</si>
  <si>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</si>
  <si>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</si>
  <si>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</si>
  <si>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</si>
  <si>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</si>
  <si>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</si>
  <si>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</si>
  <si>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</si>
  <si>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</si>
  <si>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</si>
  <si>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</si>
  <si>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</si>
  <si>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</si>
  <si>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</si>
  <si>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</si>
  <si>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</si>
  <si>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</si>
  <si>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</si>
  <si>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</si>
  <si>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</si>
  <si>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</si>
  <si>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</si>
  <si>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</si>
  <si>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</si>
  <si>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</si>
  <si>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</si>
  <si>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</si>
  <si>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</si>
  <si>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</si>
  <si>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</si>
  <si>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</si>
  <si>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</si>
  <si>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</si>
  <si>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</si>
  <si>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</si>
  <si>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</si>
  <si>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</si>
  <si>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</si>
  <si>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</si>
  <si>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</si>
  <si>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</si>
  <si>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</si>
  <si>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</si>
  <si>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</si>
  <si>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</si>
  <si>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</si>
  <si>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</si>
  <si>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</si>
  <si>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</si>
  <si>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</si>
  <si>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</si>
  <si>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</si>
  <si>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</si>
  <si>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</si>
  <si>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</si>
  <si>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</si>
  <si>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</si>
  <si>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</si>
  <si>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</si>
  <si>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</si>
  <si>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</si>
  <si>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</si>
  <si>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</si>
  <si>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</si>
  <si>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</si>
  <si>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</si>
  <si>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</si>
  <si>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</si>
  <si>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</si>
  <si>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</si>
  <si>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</si>
  <si>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</si>
  <si>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</si>
  <si>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</si>
  <si>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</si>
  <si>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</si>
  <si>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</si>
  <si>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</si>
  <si>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</si>
  <si>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</si>
  <si>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</si>
  <si>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</si>
  <si>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</si>
  <si>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</si>
  <si>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</si>
  <si>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</si>
  <si>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</si>
  <si>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</si>
  <si>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</si>
  <si>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</si>
  <si>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</si>
  <si>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</si>
  <si>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</si>
  <si>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</si>
  <si>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</si>
  <si>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</si>
  <si>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</si>
  <si>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</si>
  <si>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</si>
  <si>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</si>
  <si>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</si>
  <si>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</si>
  <si>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</si>
  <si>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</si>
  <si>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</si>
  <si>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</si>
  <si>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</si>
  <si>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</si>
  <si>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</si>
  <si>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</si>
  <si>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</si>
  <si>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</si>
  <si>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</si>
  <si>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</si>
  <si>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</si>
  <si>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</si>
  <si>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</si>
  <si>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</si>
  <si>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</si>
  <si>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</si>
  <si>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</si>
  <si>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</si>
  <si>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</si>
  <si>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</si>
  <si>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</si>
  <si>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</si>
  <si>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</si>
  <si>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</si>
  <si>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</si>
  <si>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</si>
  <si>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</si>
  <si>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</si>
  <si>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</si>
  <si>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</si>
  <si>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</si>
  <si>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</si>
  <si>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</si>
  <si>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</si>
  <si>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</si>
  <si>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</si>
  <si>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</si>
  <si>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</si>
  <si>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</si>
  <si>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</si>
  <si>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</si>
  <si>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</si>
  <si>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</si>
  <si>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</si>
  <si>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</si>
  <si>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</si>
  <si>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</si>
  <si>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</si>
  <si>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</si>
  <si>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</si>
  <si>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</si>
  <si>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</si>
  <si>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</si>
  <si>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</si>
  <si>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</si>
  <si>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</si>
  <si>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</si>
  <si>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</si>
  <si>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</si>
  <si>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</si>
  <si>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</si>
  <si>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</si>
  <si>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</si>
  <si>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</si>
  <si>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</si>
  <si>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</si>
  <si>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</si>
  <si>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</si>
  <si>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</si>
  <si>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</si>
  <si>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</si>
  <si>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</si>
  <si>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</si>
  <si>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</si>
  <si>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</si>
  <si>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</si>
  <si>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</si>
  <si>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</si>
  <si>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</si>
  <si>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</si>
  <si>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</si>
  <si>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</si>
  <si>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</si>
  <si>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</si>
  <si>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</si>
  <si>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</si>
  <si>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</si>
  <si>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</si>
  <si>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</si>
  <si>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</si>
  <si>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</si>
  <si>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</si>
  <si>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</si>
  <si>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</si>
  <si>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</si>
  <si>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</si>
  <si>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</si>
  <si>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</si>
  <si>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</si>
  <si>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</si>
  <si>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</si>
  <si>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</si>
  <si>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</si>
  <si>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</si>
  <si>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</si>
  <si>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</si>
  <si>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</si>
  <si>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</si>
  <si>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</si>
  <si>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</si>
  <si>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</si>
  <si>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</si>
  <si>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</si>
  <si>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</si>
  <si>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</si>
  <si>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</si>
  <si>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</si>
  <si>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</si>
  <si>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</si>
  <si>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</si>
  <si>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</si>
  <si>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</si>
  <si>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</si>
  <si>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</si>
  <si>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</si>
  <si>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</si>
  <si>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</si>
  <si>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</si>
  <si>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</si>
  <si>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</si>
  <si>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</si>
  <si>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</si>
  <si>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</si>
  <si>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</si>
  <si>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</si>
  <si>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</si>
  <si>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</si>
  <si>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</si>
  <si>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</si>
  <si>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</si>
  <si>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</si>
  <si>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</si>
  <si>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</si>
  <si>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</si>
  <si>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</si>
  <si>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</si>
  <si>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</si>
  <si>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</si>
  <si>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</si>
  <si>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</si>
  <si>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</si>
  <si>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</si>
  <si>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</si>
  <si>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</si>
  <si>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</si>
  <si>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</si>
  <si>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</si>
  <si>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</si>
  <si>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</si>
  <si>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</si>
  <si>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</si>
  <si>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</si>
  <si>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</si>
  <si>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</si>
  <si>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</si>
  <si>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</si>
  <si>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</si>
  <si>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</si>
  <si>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</si>
  <si>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</si>
  <si>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</si>
  <si>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</si>
  <si>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</si>
  <si>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</si>
  <si>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</si>
  <si>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</si>
  <si>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</si>
  <si>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</si>
  <si>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</si>
  <si>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</si>
  <si>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</si>
  <si>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</si>
  <si>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</si>
  <si>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</si>
  <si>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</si>
  <si>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</si>
  <si>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</si>
  <si>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</si>
  <si>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</si>
  <si>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</si>
  <si>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</si>
  <si>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</si>
  <si>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</si>
  <si>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</si>
  <si>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</si>
  <si>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</si>
  <si>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</si>
  <si>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</si>
  <si>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</si>
  <si>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</si>
  <si>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</si>
  <si>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</si>
  <si>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</si>
  <si>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</si>
  <si>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</si>
  <si>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</si>
  <si>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</si>
  <si>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</si>
  <si>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</si>
  <si>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</si>
  <si>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</si>
  <si>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</si>
  <si>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</si>
  <si>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</si>
  <si>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</si>
  <si>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</si>
  <si>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</si>
  <si>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</si>
  <si>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</si>
  <si>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</si>
  <si>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</si>
  <si>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</si>
  <si>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</si>
  <si>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</si>
  <si>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</si>
  <si>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</si>
  <si>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</si>
  <si>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</si>
  <si>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</si>
  <si>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</si>
  <si>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</si>
  <si>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</si>
  <si>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</si>
  <si>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</si>
  <si>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</si>
  <si>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</si>
  <si>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</si>
  <si>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</si>
  <si>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</si>
  <si>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</si>
  <si>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</si>
  <si>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</si>
  <si>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</si>
  <si>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</si>
  <si>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</si>
  <si>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</si>
  <si>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</si>
  <si>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</si>
  <si>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</si>
  <si>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</si>
  <si>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</si>
  <si>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</si>
  <si>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</si>
  <si>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</si>
  <si>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</si>
  <si>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</si>
  <si>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</si>
  <si>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</si>
  <si>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</si>
  <si>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</si>
  <si>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</si>
  <si>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</si>
  <si>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</si>
  <si>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</si>
  <si>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</si>
  <si>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</si>
  <si>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</si>
  <si>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</si>
  <si>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</si>
  <si>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</si>
  <si>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</si>
  <si>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</si>
  <si>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</si>
  <si>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</si>
  <si>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</si>
  <si>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</si>
  <si>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</si>
  <si>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</si>
  <si>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</si>
  <si>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</si>
  <si>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</si>
  <si>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</si>
  <si>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</si>
  <si>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</si>
  <si>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</si>
  <si>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</si>
  <si>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</si>
  <si>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</si>
  <si>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</si>
  <si>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</si>
  <si>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</si>
  <si>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</si>
  <si>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</si>
  <si>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</si>
  <si>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</si>
  <si>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</si>
  <si>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</si>
  <si>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</si>
  <si>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</si>
  <si>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</si>
  <si>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</si>
  <si>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</si>
  <si>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</si>
  <si>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</si>
  <si>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</si>
  <si>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</si>
  <si>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</si>
  <si>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</si>
  <si>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</si>
  <si>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</si>
  <si>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</si>
  <si>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</si>
  <si>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</si>
  <si>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</si>
  <si>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</si>
  <si>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</si>
  <si>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</si>
  <si>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</si>
  <si>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</si>
  <si>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</si>
  <si>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</si>
  <si>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</si>
  <si>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</si>
  <si>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</si>
  <si>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</si>
  <si>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</si>
  <si>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</si>
  <si>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</si>
  <si>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</si>
  <si>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</si>
  <si>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</si>
  <si>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</si>
  <si>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</si>
  <si>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</si>
  <si>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</si>
  <si>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</si>
  <si>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</si>
  <si>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</si>
  <si>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</si>
  <si>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</si>
  <si>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</si>
  <si>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</si>
  <si>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</si>
  <si>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</si>
  <si>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</si>
  <si>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</si>
  <si>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</si>
  <si>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</si>
  <si>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</si>
  <si>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</si>
  <si>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</si>
  <si>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</si>
  <si>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</si>
  <si>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</si>
  <si>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</si>
  <si>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</si>
  <si>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</si>
  <si>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</si>
  <si>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</si>
  <si>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</si>
  <si>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</si>
  <si>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</si>
  <si>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</si>
  <si>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</si>
  <si>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</si>
  <si>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</si>
  <si>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</si>
  <si>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</si>
  <si>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</si>
  <si>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</si>
  <si>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</si>
  <si>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</si>
  <si>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</si>
  <si>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</si>
  <si>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</si>
  <si>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</si>
  <si>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</si>
  <si>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</si>
  <si>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</si>
  <si>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</si>
  <si>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</si>
  <si>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</si>
  <si>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</si>
  <si>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</si>
  <si>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</si>
  <si>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</si>
  <si>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</si>
  <si>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</si>
  <si>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</si>
  <si>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</si>
  <si>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</si>
  <si>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</si>
  <si>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</si>
  <si>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</si>
  <si>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</si>
  <si>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</si>
  <si>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</si>
  <si>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</si>
  <si>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</si>
  <si>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</si>
  <si>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</si>
  <si>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</si>
  <si>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</si>
  <si>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</si>
  <si>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</si>
  <si>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</si>
  <si>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</si>
  <si>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</si>
  <si>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</si>
  <si>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</si>
  <si>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</si>
  <si>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</si>
  <si>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</si>
  <si>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</si>
  <si>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</si>
  <si>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</si>
  <si>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</si>
  <si>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</si>
  <si>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</si>
  <si>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</si>
  <si>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</si>
  <si>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</si>
  <si>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</si>
  <si>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</si>
  <si>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</si>
  <si>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</si>
  <si>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</si>
  <si>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</si>
  <si>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</si>
  <si>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</si>
  <si>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</si>
  <si>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</si>
  <si>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</si>
  <si>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</si>
  <si>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</si>
  <si>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</si>
  <si>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</si>
  <si>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</si>
  <si>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</si>
  <si>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</si>
  <si>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</si>
  <si>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</si>
  <si>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</si>
  <si>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</si>
  <si>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</si>
  <si>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</si>
  <si>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</si>
  <si>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</si>
  <si>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</si>
  <si>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</si>
  <si>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</si>
  <si>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</si>
  <si>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</si>
  <si>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</si>
  <si>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</si>
  <si>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</si>
  <si>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</si>
  <si>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</si>
  <si>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</si>
  <si>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</si>
  <si>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</si>
  <si>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</si>
  <si>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</si>
  <si>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</si>
  <si>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</si>
  <si>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</si>
  <si>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</si>
  <si>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</si>
  <si>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</si>
  <si>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</si>
  <si>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</si>
  <si>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</si>
  <si>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</si>
  <si>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</si>
  <si>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</si>
  <si>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</si>
  <si>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</si>
  <si>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</si>
  <si>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</si>
  <si>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</si>
  <si>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</si>
  <si>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</si>
  <si>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</si>
  <si>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</si>
  <si>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</si>
  <si>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</si>
  <si>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</si>
  <si>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</si>
  <si>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</si>
  <si>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</si>
  <si>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</si>
  <si>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</si>
  <si>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</si>
  <si>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</si>
  <si>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</si>
  <si>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</si>
  <si>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</si>
  <si>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</si>
  <si>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</si>
  <si>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</si>
  <si>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</si>
  <si>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</si>
  <si>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</si>
  <si>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</si>
  <si>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</si>
  <si>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</si>
  <si>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</si>
  <si>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</si>
  <si>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</si>
  <si>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</si>
  <si>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</si>
  <si>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</si>
  <si>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</si>
  <si>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</si>
  <si>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</si>
  <si>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</si>
  <si>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</si>
  <si>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</si>
  <si>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</si>
  <si>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</si>
  <si>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</si>
  <si>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</si>
  <si>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</si>
  <si>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</si>
  <si>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</si>
  <si>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</si>
  <si>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</si>
  <si>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</si>
  <si>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</si>
  <si>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</si>
  <si>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</si>
  <si>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</si>
  <si>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</si>
  <si>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</si>
  <si>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</si>
  <si>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</si>
  <si>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</si>
  <si>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</si>
  <si>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</si>
  <si>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</si>
  <si>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</si>
  <si>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</si>
  <si>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</si>
  <si>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</si>
  <si>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</si>
  <si>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</si>
  <si>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</si>
  <si>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</si>
  <si>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</si>
  <si>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</si>
  <si>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</si>
  <si>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</si>
  <si>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</si>
  <si>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</si>
  <si>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</si>
  <si>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</si>
  <si>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</si>
  <si>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</si>
  <si>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</si>
  <si>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</si>
  <si>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</si>
  <si>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</si>
  <si>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</si>
  <si>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</si>
  <si>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</si>
  <si>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</si>
  <si>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</si>
  <si>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</si>
  <si>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</si>
  <si>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</si>
  <si>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</si>
  <si>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</si>
  <si>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</si>
  <si>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</si>
  <si>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</si>
  <si>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</si>
  <si>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</si>
  <si>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</si>
  <si>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</si>
  <si>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</si>
  <si>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</si>
  <si>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</si>
  <si>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</si>
  <si>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</si>
  <si>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</si>
  <si>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</si>
  <si>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</si>
  <si>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</si>
  <si>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</si>
  <si>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</si>
  <si>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</si>
  <si>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</si>
  <si>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</si>
  <si>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</si>
  <si>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</si>
  <si>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</si>
  <si>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</si>
  <si>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</si>
  <si>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</si>
  <si>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</si>
  <si>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</si>
  <si>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</si>
  <si>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</si>
  <si>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</si>
  <si>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</si>
  <si>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</si>
  <si>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</si>
  <si>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</si>
  <si>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</si>
  <si>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</si>
  <si>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</si>
  <si>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</si>
  <si>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</si>
  <si>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</si>
  <si>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</si>
  <si>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</si>
  <si>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</si>
  <si>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</si>
  <si>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</si>
  <si>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</si>
  <si>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</si>
  <si>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</si>
  <si>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</si>
  <si>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</si>
  <si>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</si>
  <si>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</si>
  <si>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</si>
  <si>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</si>
  <si>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</si>
  <si>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</si>
  <si>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</si>
  <si>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</si>
  <si>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</si>
  <si>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</si>
  <si>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</si>
  <si>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</si>
  <si>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</si>
  <si>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</si>
  <si>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</si>
  <si>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</si>
  <si>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</si>
  <si>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</si>
  <si>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</si>
  <si>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</si>
  <si>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</si>
  <si>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</si>
  <si>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</si>
  <si>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</si>
  <si>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</si>
  <si>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</si>
  <si>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</si>
  <si>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</si>
  <si>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</si>
  <si>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</si>
  <si>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</si>
  <si>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</si>
  <si>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</si>
  <si>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</si>
  <si>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</si>
  <si>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</si>
  <si>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</si>
  <si>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</si>
  <si>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</si>
  <si>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</si>
  <si>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</si>
  <si>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</si>
  <si>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</si>
  <si>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</si>
  <si>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</si>
  <si>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</si>
  <si>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</si>
  <si>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</si>
  <si>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</si>
  <si>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</si>
  <si>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</si>
  <si>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</si>
  <si>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</si>
  <si>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</si>
  <si>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</si>
  <si>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</si>
  <si>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</si>
  <si>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</si>
  <si>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</si>
  <si>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</si>
  <si>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</si>
  <si>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</si>
  <si>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</si>
  <si>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</si>
  <si>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</si>
  <si>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</si>
  <si>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</si>
  <si>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</si>
  <si>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</si>
  <si>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</si>
  <si>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</si>
  <si>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</si>
  <si>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</si>
  <si>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</si>
  <si>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</si>
  <si>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</si>
  <si>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</si>
  <si>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</si>
  <si>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</si>
  <si>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</si>
  <si>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</si>
  <si>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</si>
  <si>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</si>
  <si>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</si>
  <si>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</si>
  <si>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</si>
  <si>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</si>
  <si>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</si>
  <si>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</si>
  <si>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</si>
  <si>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</si>
  <si>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</si>
  <si>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</si>
  <si>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</si>
  <si>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</si>
  <si>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</si>
  <si>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</si>
  <si>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</si>
  <si>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</si>
  <si>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</si>
  <si>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</si>
  <si>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</si>
  <si>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</si>
  <si>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</si>
  <si>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</si>
  <si>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</si>
  <si>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</si>
  <si>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</si>
  <si>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</si>
  <si>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</si>
  <si>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</si>
  <si>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</si>
  <si>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</si>
  <si>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</si>
  <si>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</si>
  <si>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</si>
  <si>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</si>
  <si>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</si>
  <si>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</si>
  <si>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</si>
  <si>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</si>
  <si>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</si>
  <si>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</si>
  <si>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</si>
  <si>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</si>
  <si>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</si>
  <si>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</si>
  <si>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</si>
  <si>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</si>
  <si>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</si>
  <si>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</si>
  <si>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</si>
  <si>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</si>
  <si>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</si>
  <si>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</si>
  <si>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</si>
  <si>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</si>
  <si>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</si>
  <si>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</si>
  <si>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</si>
  <si>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</si>
  <si>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</si>
  <si>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</si>
  <si>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</si>
  <si>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</si>
  <si>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</si>
  <si>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</si>
  <si>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</si>
  <si>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</si>
  <si>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</si>
  <si>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</si>
  <si>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</si>
  <si>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</si>
  <si>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</si>
  <si>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</si>
  <si>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</si>
  <si>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</si>
  <si>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</si>
  <si>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</si>
  <si>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</si>
  <si>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</si>
  <si>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</si>
  <si>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</si>
  <si>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</si>
  <si>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</si>
  <si>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</si>
  <si>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</si>
  <si>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</si>
  <si>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</si>
  <si>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</si>
  <si>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</si>
  <si>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</si>
  <si>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</si>
  <si>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</si>
  <si>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</si>
  <si>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</si>
  <si>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</si>
  <si>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</si>
  <si>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</si>
  <si>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</si>
  <si>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</si>
  <si>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</si>
  <si>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</si>
  <si>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</si>
  <si>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</si>
  <si>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</si>
  <si>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</si>
  <si>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</si>
  <si>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</si>
  <si>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</si>
  <si>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</si>
  <si>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</si>
  <si>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</si>
  <si>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</si>
  <si>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</si>
  <si>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</si>
  <si>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</si>
  <si>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</si>
  <si>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</si>
  <si>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</si>
  <si>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</si>
  <si>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</si>
  <si>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</si>
  <si>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</si>
  <si>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</si>
  <si>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</si>
  <si>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</si>
  <si>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</si>
  <si>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</si>
  <si>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</si>
  <si>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</si>
  <si>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</si>
  <si>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</si>
  <si>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</si>
  <si>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</si>
  <si>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</si>
  <si>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</si>
  <si>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</si>
  <si>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</si>
  <si>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</si>
  <si>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</si>
  <si>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</si>
  <si>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</si>
  <si>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</si>
  <si>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</si>
  <si>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</si>
  <si>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</si>
  <si>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</si>
  <si>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</si>
  <si>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</si>
  <si>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</si>
  <si>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</si>
  <si>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</si>
  <si>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</si>
  <si>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</si>
  <si>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</si>
  <si>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</si>
  <si>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</si>
  <si>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</si>
  <si>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</si>
  <si>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</si>
  <si>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</si>
  <si>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</si>
  <si>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</si>
  <si>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</si>
  <si>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</si>
  <si>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</si>
  <si>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</si>
  <si>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</si>
  <si>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</si>
  <si>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</si>
  <si>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</si>
  <si>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</si>
  <si>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</si>
  <si>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</si>
  <si>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</si>
  <si>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</si>
  <si>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</si>
  <si>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</si>
  <si>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</si>
  <si>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</si>
  <si>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</si>
  <si>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</si>
  <si>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</si>
  <si>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</si>
  <si>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</si>
  <si>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</si>
  <si>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</si>
  <si>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</si>
  <si>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</si>
  <si>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</si>
  <si>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</si>
  <si>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</si>
  <si>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</si>
  <si>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</si>
  <si>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</si>
  <si>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</si>
  <si>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</si>
  <si>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</si>
  <si>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</si>
  <si>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</si>
  <si>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</si>
  <si>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</si>
  <si>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</si>
  <si>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</si>
  <si>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</si>
  <si>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</si>
  <si>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</si>
  <si>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</si>
  <si>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</si>
  <si>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</si>
  <si>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</si>
  <si>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</si>
  <si>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</si>
  <si>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</si>
  <si>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</si>
  <si>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</si>
  <si>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</si>
  <si>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</si>
  <si>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</si>
  <si>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</si>
  <si>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</si>
  <si>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</si>
  <si>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</si>
  <si>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</si>
  <si>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</si>
  <si>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</si>
  <si>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</si>
  <si>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</si>
  <si>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</si>
  <si>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</si>
  <si>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</si>
  <si>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</si>
  <si>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</si>
  <si>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</si>
  <si>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</si>
  <si>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</si>
  <si>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</si>
  <si>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</si>
  <si>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</si>
  <si>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</si>
  <si>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</si>
  <si>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</si>
  <si>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</si>
  <si>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</si>
  <si>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</si>
  <si>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</si>
  <si>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</si>
  <si>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</si>
  <si>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</si>
  <si>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</si>
  <si>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</si>
  <si>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</si>
  <si>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</si>
  <si>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</si>
  <si>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</si>
  <si>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</si>
  <si>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</si>
  <si>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</si>
  <si>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</si>
  <si>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</si>
  <si>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</si>
  <si>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</si>
  <si>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</si>
  <si>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</si>
  <si>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</si>
  <si>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</si>
  <si>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</si>
  <si>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</si>
  <si>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</si>
  <si>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</si>
  <si>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</si>
  <si>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</si>
  <si>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</si>
  <si>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</si>
  <si>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</si>
  <si>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</si>
  <si>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</si>
  <si>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</si>
  <si>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</si>
  <si>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</si>
  <si>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</si>
  <si>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</si>
  <si>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</si>
  <si>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</si>
  <si>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</si>
  <si>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</si>
  <si>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</si>
  <si>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</si>
  <si>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</si>
  <si>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</si>
  <si>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</si>
  <si>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</si>
  <si>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</si>
  <si>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</si>
  <si>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</si>
  <si>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</si>
  <si>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</si>
  <si>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</si>
  <si>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</si>
  <si>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</si>
  <si>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</si>
  <si>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</si>
  <si>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</si>
  <si>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</si>
  <si>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</si>
  <si>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</si>
  <si>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</si>
  <si>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</si>
  <si>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</si>
  <si>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</si>
  <si>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</si>
  <si>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</si>
  <si>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</si>
  <si>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</si>
  <si>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</si>
  <si>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</si>
  <si>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</si>
  <si>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</si>
  <si>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</si>
  <si>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</si>
  <si>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</si>
  <si>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</si>
  <si>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</si>
  <si>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</si>
  <si>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</si>
  <si>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</si>
  <si>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</si>
  <si>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</si>
  <si>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</si>
  <si>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</si>
  <si>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</si>
  <si>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</si>
  <si>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</si>
  <si>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</si>
  <si>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</si>
  <si>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</si>
  <si>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</si>
  <si>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</si>
  <si>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</si>
  <si>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</si>
  <si>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</si>
  <si>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</si>
  <si>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</si>
  <si>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</si>
  <si>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</si>
  <si>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</si>
  <si>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</si>
  <si>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</si>
  <si>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</si>
  <si>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</si>
  <si>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</si>
  <si>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</si>
  <si>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</si>
  <si>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</si>
  <si>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</si>
  <si>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</si>
  <si>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</si>
  <si>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</si>
  <si>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</si>
  <si>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</si>
  <si>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</si>
  <si>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</si>
  <si>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</si>
  <si>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</si>
  <si>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</si>
  <si>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</si>
  <si>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</si>
  <si>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</si>
  <si>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</si>
  <si>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</si>
  <si>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</si>
  <si>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</si>
  <si>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</si>
  <si>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</si>
  <si>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</si>
  <si>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</si>
  <si>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</si>
  <si>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</si>
  <si>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</si>
  <si>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</si>
  <si>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</si>
  <si>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</si>
  <si>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</si>
  <si>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</si>
  <si>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</si>
  <si>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</si>
  <si>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</si>
  <si>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</si>
  <si>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</si>
  <si>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</si>
  <si>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</si>
  <si>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</si>
  <si>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</si>
  <si>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</si>
  <si>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</si>
  <si>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</si>
  <si>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</si>
  <si>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</si>
  <si>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</si>
  <si>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</si>
  <si>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</si>
  <si>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</si>
  <si>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</si>
  <si>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</si>
  <si>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</si>
  <si>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</si>
  <si>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</si>
  <si>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</si>
  <si>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</si>
  <si>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</si>
  <si>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</si>
  <si>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</si>
  <si>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</si>
  <si>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</si>
  <si>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</si>
  <si>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</si>
  <si>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</si>
  <si>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</si>
  <si>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</si>
  <si>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</si>
  <si>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</si>
  <si>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</si>
  <si>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</si>
  <si>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</si>
  <si>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</si>
  <si>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</si>
  <si>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</si>
  <si>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</si>
  <si>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</si>
  <si>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</si>
  <si>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</si>
  <si>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</si>
  <si>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</si>
  <si>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</si>
  <si>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</si>
  <si>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</si>
  <si>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</si>
  <si>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</si>
  <si>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</si>
  <si>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</si>
  <si>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</si>
  <si>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</si>
  <si>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</si>
  <si>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</si>
  <si>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</si>
  <si>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</si>
  <si>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</si>
  <si>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</si>
  <si>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</si>
  <si>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</si>
  <si>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</si>
  <si>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</si>
  <si>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</si>
  <si>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</si>
  <si>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</si>
  <si>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</si>
  <si>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</si>
  <si>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</si>
  <si>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</si>
  <si>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</si>
  <si>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</si>
  <si>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</si>
  <si>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</si>
  <si>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</si>
  <si>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</si>
  <si>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</si>
  <si>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</si>
  <si>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</si>
  <si>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</si>
  <si>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</si>
  <si>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</si>
  <si>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</si>
  <si>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</si>
  <si>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</si>
  <si>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</si>
  <si>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</si>
  <si>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</si>
  <si>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</si>
  <si>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</si>
  <si>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</si>
  <si>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</si>
  <si>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</si>
  <si>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</si>
  <si>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</si>
  <si>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</si>
  <si>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</si>
  <si>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</si>
  <si>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</si>
  <si>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</si>
  <si>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</si>
  <si>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</si>
  <si>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</si>
  <si>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</si>
  <si>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</si>
  <si>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</si>
  <si>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</si>
  <si>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</si>
  <si>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</si>
  <si>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</si>
  <si>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</si>
  <si>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</si>
  <si>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</si>
  <si>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</si>
  <si>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</si>
  <si>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</si>
  <si>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</si>
  <si>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</si>
  <si>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</si>
  <si>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</si>
  <si>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</si>
  <si>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</si>
  <si>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</si>
  <si>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</si>
  <si>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</si>
  <si>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</si>
  <si>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</si>
  <si>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</si>
  <si>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</si>
  <si>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</si>
  <si>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</si>
  <si>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</si>
  <si>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</si>
  <si>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</si>
  <si>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</si>
  <si>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</si>
  <si>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</si>
  <si>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</si>
  <si>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</si>
  <si>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</si>
  <si>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</si>
  <si>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</si>
  <si>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</si>
  <si>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</si>
  <si>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</si>
  <si>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</si>
  <si>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</si>
  <si>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</si>
  <si>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</si>
  <si>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</si>
  <si>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</si>
  <si>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</si>
  <si>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</si>
  <si>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</si>
  <si>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</si>
  <si>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</si>
  <si>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</si>
  <si>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</si>
  <si>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</si>
  <si>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</si>
  <si>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</si>
  <si>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</si>
  <si>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</si>
  <si>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</si>
  <si>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</si>
  <si>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</si>
  <si>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</si>
  <si>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</si>
  <si>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</si>
  <si>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</si>
  <si>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</si>
  <si>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</si>
  <si>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</si>
  <si>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</si>
  <si>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</si>
  <si>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</si>
  <si>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</si>
  <si>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</si>
  <si>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</si>
  <si>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</si>
  <si>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</si>
  <si>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</si>
  <si>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</si>
  <si>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</si>
  <si>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</si>
  <si>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</si>
  <si>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</si>
  <si>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</si>
  <si>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</si>
  <si>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</si>
  <si>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</si>
  <si>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</si>
  <si>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</si>
  <si>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</si>
  <si>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</si>
  <si>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</si>
  <si>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</si>
  <si>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</si>
  <si>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</si>
  <si>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</si>
  <si>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</si>
  <si>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</si>
  <si>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</si>
  <si>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</si>
  <si>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</si>
  <si>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</si>
  <si>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</si>
  <si>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</si>
  <si>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</si>
  <si>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</si>
  <si>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</si>
  <si>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</si>
  <si>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</si>
  <si>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</si>
  <si>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</si>
  <si>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</si>
  <si>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</si>
  <si>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</si>
  <si>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</si>
  <si>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</si>
  <si>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</si>
  <si>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</si>
  <si>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</si>
  <si>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</si>
  <si>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</si>
  <si>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</si>
  <si>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</si>
  <si>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</si>
  <si>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</si>
  <si>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</si>
  <si>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</si>
  <si>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</si>
  <si>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</si>
  <si>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</si>
  <si>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</si>
  <si>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</si>
  <si>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</si>
  <si>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</si>
  <si>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</si>
  <si>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</si>
  <si>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</si>
  <si>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</si>
  <si>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</si>
  <si>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</si>
  <si>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</si>
  <si>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</si>
  <si>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</si>
  <si>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</si>
  <si>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</si>
  <si>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</si>
  <si>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</si>
  <si>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</si>
  <si>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</si>
  <si>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</si>
  <si>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</si>
  <si>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</si>
  <si>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</si>
  <si>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</si>
  <si>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</si>
  <si>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</si>
  <si>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</si>
  <si>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</si>
  <si>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</si>
  <si>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</si>
  <si>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</si>
  <si>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</si>
  <si>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</si>
  <si>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</si>
  <si>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</si>
  <si>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</si>
  <si>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</si>
  <si>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</si>
  <si>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</si>
  <si>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</si>
  <si>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</si>
  <si>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</si>
  <si>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</si>
  <si>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</si>
  <si>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</si>
  <si>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</si>
  <si>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</si>
  <si>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</si>
  <si>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</si>
  <si>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</si>
  <si>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</si>
  <si>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</si>
  <si>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</si>
  <si>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</si>
  <si>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</si>
  <si>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</si>
  <si>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</si>
  <si>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</si>
  <si>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</si>
  <si>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</si>
  <si>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</si>
  <si>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</si>
  <si>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</si>
  <si>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</si>
  <si>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</si>
  <si>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</si>
  <si>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</si>
  <si>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</si>
  <si>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</si>
  <si>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</si>
  <si>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</si>
  <si>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</si>
  <si>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</si>
  <si>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</si>
  <si>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</si>
  <si>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</si>
  <si>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</si>
  <si>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</si>
  <si>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</si>
  <si>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</si>
  <si>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</si>
  <si>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</si>
  <si>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</si>
  <si>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</si>
  <si>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</si>
  <si>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</si>
  <si>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</si>
  <si>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</si>
  <si>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</si>
  <si>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</si>
  <si>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</si>
  <si>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</si>
  <si>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</si>
  <si>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</si>
  <si>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</si>
  <si>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</si>
  <si>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</si>
  <si>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</si>
  <si>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</si>
  <si>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</si>
  <si>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</si>
  <si>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</si>
  <si>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</si>
  <si>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</si>
  <si>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</si>
  <si>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</si>
  <si>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</si>
  <si>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</si>
  <si>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</si>
  <si>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</si>
  <si>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</si>
  <si>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</si>
  <si>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</si>
  <si>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</si>
  <si>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</si>
  <si>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</si>
  <si>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</si>
  <si>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</si>
  <si>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</si>
  <si>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</si>
  <si>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</si>
  <si>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</si>
  <si>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</si>
  <si>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</si>
  <si>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</si>
  <si>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</si>
  <si>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</si>
  <si>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</si>
  <si>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</si>
  <si>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</si>
  <si>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</si>
  <si>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</si>
  <si>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</si>
  <si>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</si>
  <si>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</si>
  <si>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</si>
  <si>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</si>
  <si>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</si>
  <si>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</si>
  <si>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</si>
  <si>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</si>
  <si>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</si>
  <si>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</si>
  <si>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</si>
  <si>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</si>
  <si>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</si>
  <si>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</si>
  <si>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</si>
  <si>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</si>
  <si>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</si>
  <si>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</si>
  <si>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</si>
  <si>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</si>
  <si>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</si>
  <si>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</si>
  <si>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</si>
  <si>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</si>
  <si>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</si>
  <si>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</si>
  <si>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</si>
  <si>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</si>
  <si>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</si>
  <si>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</si>
  <si>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</si>
  <si>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</si>
  <si>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</si>
  <si>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</si>
  <si>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</si>
  <si>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</si>
  <si>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</si>
  <si>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</si>
  <si>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</si>
  <si>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</si>
  <si>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</si>
  <si>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</si>
  <si>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</si>
  <si>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</si>
  <si>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</si>
  <si>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</si>
  <si>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</si>
  <si>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</si>
  <si>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</si>
  <si>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</si>
  <si>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</si>
  <si>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</si>
  <si>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</si>
  <si>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</si>
  <si>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</si>
  <si>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</si>
  <si>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</si>
  <si>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</si>
  <si>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</si>
  <si>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</si>
  <si>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</si>
  <si>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</si>
  <si>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</si>
  <si>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</si>
  <si>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</si>
  <si>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</si>
  <si>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</si>
  <si>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</si>
  <si>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</si>
  <si>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</si>
  <si>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</si>
  <si>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</si>
  <si>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</si>
  <si>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</si>
  <si>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</si>
  <si>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</si>
  <si>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</si>
  <si>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</si>
  <si>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</si>
  <si>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</si>
  <si>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</si>
  <si>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</si>
  <si>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</si>
  <si>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</si>
  <si>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</si>
  <si>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</si>
  <si>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</si>
  <si>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</si>
  <si>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</si>
  <si>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</si>
  <si>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</si>
  <si>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</si>
  <si>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</si>
  <si>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</si>
  <si>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</si>
  <si>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</si>
  <si>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</si>
  <si>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</si>
  <si>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</si>
  <si>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</si>
  <si>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</si>
  <si>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</si>
  <si>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</si>
  <si>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</si>
  <si>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</si>
  <si>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</si>
  <si>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</si>
  <si>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</si>
  <si>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</si>
  <si>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</si>
  <si>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</si>
  <si>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</si>
  <si>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</si>
  <si>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</si>
  <si>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</si>
  <si>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</si>
  <si>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</si>
  <si>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</si>
  <si>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</si>
  <si>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</si>
  <si>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</si>
  <si>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</si>
  <si>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</si>
  <si>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</si>
  <si>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</si>
  <si>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</si>
  <si>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</si>
  <si>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</si>
  <si>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</si>
  <si>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</si>
  <si>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</si>
  <si>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</si>
  <si>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</si>
  <si>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</si>
  <si>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</si>
  <si>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</si>
  <si>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</si>
  <si>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</si>
  <si>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</si>
  <si>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</si>
  <si>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</si>
  <si>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</si>
  <si>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</si>
  <si>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</si>
  <si>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</si>
  <si>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</si>
  <si>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</si>
  <si>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</si>
  <si>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</si>
  <si>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</si>
  <si>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</si>
  <si>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</si>
  <si>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</si>
  <si>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</si>
  <si>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</si>
  <si>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</si>
  <si>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</si>
  <si>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</si>
  <si>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</si>
  <si>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</si>
  <si>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</si>
  <si>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</si>
  <si>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</si>
  <si>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</si>
  <si>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</si>
  <si>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</si>
  <si>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</si>
  <si>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</si>
  <si>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</si>
  <si>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</si>
  <si>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</si>
  <si>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</si>
  <si>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</si>
  <si>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</si>
  <si>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</si>
  <si>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</si>
  <si>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</si>
  <si>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</si>
  <si>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</si>
  <si>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</si>
  <si>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</si>
  <si>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</si>
  <si>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</si>
  <si>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</si>
  <si>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</si>
  <si>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</si>
  <si>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</si>
  <si>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</si>
  <si>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</si>
  <si>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</si>
  <si>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</si>
  <si>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</si>
  <si>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</si>
  <si>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</si>
  <si>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</si>
  <si>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</si>
  <si>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</si>
  <si>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</si>
  <si>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</si>
  <si>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</si>
  <si>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</si>
  <si>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</si>
  <si>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</si>
  <si>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</si>
  <si>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</si>
  <si>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</si>
  <si>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</si>
  <si>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</si>
  <si>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</si>
  <si>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</si>
  <si>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</si>
  <si>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</si>
  <si>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</si>
  <si>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</si>
  <si>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</si>
  <si>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</si>
  <si>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</si>
  <si>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</si>
  <si>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</si>
  <si>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</si>
  <si>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</si>
  <si>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</si>
  <si>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</si>
  <si>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</si>
  <si>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</si>
  <si>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</si>
  <si>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</si>
  <si>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</si>
  <si>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</si>
  <si>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</si>
  <si>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</si>
  <si>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</si>
  <si>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</si>
  <si>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</si>
  <si>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</si>
  <si>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</si>
  <si>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</si>
  <si>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</si>
  <si>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</si>
  <si>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</si>
  <si>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</si>
  <si>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</si>
  <si>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</si>
  <si>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</si>
  <si>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</si>
  <si>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</si>
  <si>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</si>
  <si>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</si>
  <si>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</si>
  <si>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</si>
  <si>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</si>
  <si>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</si>
  <si>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</si>
  <si>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</si>
  <si>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</si>
  <si>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</si>
  <si>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</si>
  <si>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</si>
  <si>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</si>
  <si>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</si>
  <si>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</si>
  <si>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</si>
  <si>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</si>
  <si>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</si>
  <si>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</si>
  <si>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</si>
  <si>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</si>
  <si>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</si>
  <si>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</si>
  <si>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</si>
  <si>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</si>
  <si>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</si>
  <si>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</si>
  <si>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</si>
  <si>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</si>
  <si>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</si>
  <si>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</si>
  <si>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</si>
  <si>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</si>
  <si>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</si>
  <si>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</si>
  <si>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</si>
  <si>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</si>
  <si>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</si>
  <si>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</si>
  <si>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</si>
  <si>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</si>
  <si>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</si>
  <si>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</si>
  <si>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</si>
  <si>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</si>
  <si>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</si>
  <si>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</si>
  <si>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</si>
  <si>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</si>
  <si>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</si>
  <si>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</si>
  <si>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</si>
  <si>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</si>
  <si>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</si>
  <si>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</si>
  <si>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</si>
  <si>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</si>
  <si>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</si>
  <si>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</si>
  <si>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</si>
  <si>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</si>
  <si>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</si>
  <si>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</si>
  <si>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</si>
  <si>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</si>
  <si>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</si>
  <si>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</si>
  <si>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</si>
  <si>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</si>
  <si>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</si>
  <si>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</si>
  <si>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</si>
  <si>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</si>
  <si>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</si>
  <si>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</si>
  <si>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</si>
  <si>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</si>
  <si>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</si>
  <si>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</si>
  <si>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</si>
  <si>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</si>
  <si>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</si>
  <si>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</si>
  <si>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</si>
  <si>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</si>
  <si>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</si>
  <si>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</si>
  <si>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</si>
  <si>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</si>
  <si>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</si>
  <si>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</si>
  <si>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</si>
  <si>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</si>
  <si>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</si>
  <si>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</si>
  <si>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</si>
  <si>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</si>
  <si>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</si>
  <si>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</si>
  <si>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</si>
  <si>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</si>
  <si>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</si>
  <si>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</si>
  <si>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</si>
  <si>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</si>
  <si>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</si>
  <si>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</si>
  <si>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</si>
  <si>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</si>
  <si>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</si>
  <si>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</si>
  <si>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</si>
  <si>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</si>
  <si>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</si>
  <si>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</si>
  <si>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</si>
  <si>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</si>
  <si>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</si>
  <si>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</si>
  <si>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</si>
  <si>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</si>
  <si>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</si>
  <si>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</si>
  <si>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</si>
  <si>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</si>
  <si>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</si>
  <si>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</si>
  <si>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</si>
  <si>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</si>
  <si>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</si>
  <si>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</si>
  <si>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</si>
  <si>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</si>
  <si>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</si>
  <si>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</si>
  <si>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</si>
  <si>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</si>
  <si>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</si>
  <si>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</si>
  <si>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</si>
  <si>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</si>
  <si>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</si>
  <si>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</si>
  <si>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</si>
  <si>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</si>
  <si>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</si>
  <si>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</si>
  <si>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</si>
  <si>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</si>
  <si>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</si>
  <si>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</si>
  <si>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</si>
  <si>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</si>
  <si>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</si>
  <si>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</si>
  <si>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</si>
  <si>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</si>
  <si>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</si>
  <si>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</si>
  <si>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</si>
  <si>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</si>
  <si>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</si>
  <si>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</si>
  <si>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</si>
  <si>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</si>
  <si>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</si>
  <si>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</si>
  <si>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</si>
  <si>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</si>
  <si>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</si>
  <si>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</si>
  <si>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</si>
  <si>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</si>
  <si>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</si>
  <si>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</si>
  <si>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</si>
  <si>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</si>
  <si>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</si>
  <si>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</si>
  <si>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</si>
  <si>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</si>
  <si>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</si>
  <si>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</si>
  <si>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</si>
  <si>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</si>
  <si>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</si>
  <si>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</si>
  <si>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</si>
  <si>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</si>
  <si>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</si>
  <si>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</si>
  <si>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</si>
  <si>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</si>
  <si>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</si>
  <si>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</si>
  <si>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</si>
  <si>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</si>
  <si>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</si>
  <si>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</si>
  <si>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</si>
  <si>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</si>
  <si>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</si>
  <si>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</si>
  <si>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</si>
  <si>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</si>
  <si>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</si>
  <si>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</si>
  <si>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</si>
  <si>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</si>
  <si>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</si>
  <si>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</si>
  <si>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</si>
  <si>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</si>
  <si>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</si>
  <si>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</si>
  <si>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</si>
  <si>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</si>
  <si>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</si>
  <si>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</si>
  <si>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</si>
  <si>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</si>
  <si>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</si>
  <si>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</si>
  <si>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</si>
  <si>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</si>
  <si>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</si>
  <si>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</si>
  <si>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</si>
  <si>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</si>
  <si>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</si>
  <si>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</si>
  <si>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</si>
  <si>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</si>
  <si>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</si>
  <si>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</si>
  <si>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</si>
  <si>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</si>
  <si>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</si>
  <si>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</si>
  <si>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</si>
  <si>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</si>
  <si>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</si>
  <si>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</si>
  <si>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</si>
  <si>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</si>
  <si>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</si>
  <si>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</si>
  <si>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</si>
  <si>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</si>
  <si>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</si>
  <si>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</si>
  <si>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</si>
  <si>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</si>
  <si>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</si>
  <si>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</si>
  <si>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</si>
  <si>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</si>
  <si>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</si>
  <si>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</si>
  <si>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</si>
  <si>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</si>
  <si>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</si>
  <si>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</si>
  <si>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</si>
  <si>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</si>
  <si>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</si>
  <si>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</si>
  <si>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</si>
  <si>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</si>
  <si>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</si>
  <si>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</si>
  <si>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</si>
  <si>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</si>
  <si>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</si>
  <si>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</si>
  <si>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</si>
  <si>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</si>
  <si>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</si>
  <si>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</si>
  <si>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</si>
  <si>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</si>
  <si>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</si>
  <si>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</si>
  <si>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</si>
  <si>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</si>
  <si>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</si>
  <si>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</si>
  <si>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</si>
  <si>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</si>
  <si>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</si>
  <si>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</si>
  <si>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</si>
  <si>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</si>
  <si>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</si>
  <si>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</si>
  <si>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</si>
  <si>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</si>
  <si>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</si>
  <si>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</si>
  <si>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</si>
  <si>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</si>
  <si>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</si>
  <si>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</si>
  <si>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</si>
  <si>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</si>
  <si>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</si>
  <si>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</si>
  <si>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</si>
  <si>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</si>
  <si>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</si>
  <si>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</si>
  <si>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</si>
  <si>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</si>
  <si>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</si>
  <si>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</si>
  <si>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</si>
  <si>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</si>
  <si>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</si>
  <si>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</si>
  <si>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</si>
  <si>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</si>
  <si>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</si>
  <si>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</si>
  <si>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</si>
  <si>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</si>
  <si>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</si>
  <si>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</si>
  <si>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</si>
  <si>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</si>
  <si>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</si>
  <si>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</si>
  <si>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</si>
  <si>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</si>
  <si>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</si>
  <si>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</si>
  <si>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</si>
  <si>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</si>
  <si>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</si>
  <si>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</si>
  <si>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</si>
  <si>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</si>
  <si>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</si>
  <si>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</si>
  <si>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</si>
  <si>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</si>
  <si>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</si>
  <si>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</si>
  <si>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</si>
  <si>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</si>
  <si>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</si>
  <si>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</si>
  <si>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</si>
  <si>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</si>
  <si>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</si>
  <si>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</si>
  <si>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</si>
  <si>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</si>
  <si>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</si>
  <si>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</si>
  <si>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</si>
  <si>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</si>
  <si>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</si>
  <si>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</si>
  <si>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</si>
  <si>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</si>
  <si>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</si>
  <si>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</si>
  <si>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</si>
  <si>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</si>
  <si>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</si>
  <si>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</si>
  <si>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</si>
  <si>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</si>
  <si>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</si>
  <si>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</si>
  <si>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</si>
  <si>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</si>
  <si>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</si>
  <si>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</si>
  <si>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</si>
  <si>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</si>
  <si>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</si>
  <si>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</si>
  <si>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</si>
  <si>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</si>
  <si>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</si>
  <si>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</si>
  <si>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</si>
  <si>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</si>
  <si>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</si>
  <si>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</si>
  <si>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</si>
  <si>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</si>
  <si>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</si>
  <si>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</si>
  <si>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</si>
  <si>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</si>
  <si>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</si>
  <si>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</si>
  <si>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</si>
  <si>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</si>
  <si>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</si>
  <si>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</si>
  <si>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</si>
  <si>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</si>
  <si>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</si>
  <si>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</si>
  <si>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</si>
  <si>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</si>
  <si>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</si>
  <si>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</si>
  <si>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</si>
  <si>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</si>
  <si>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</si>
  <si>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</si>
  <si>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</si>
  <si>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</si>
  <si>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</si>
  <si>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</si>
  <si>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</si>
  <si>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</si>
  <si>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</si>
  <si>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</si>
  <si>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</si>
  <si>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</si>
  <si>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</si>
  <si>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</si>
  <si>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</si>
  <si>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</si>
  <si>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</si>
  <si>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</si>
  <si>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</si>
  <si>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</si>
  <si>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</si>
  <si>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</si>
  <si>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</si>
  <si>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</si>
  <si>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</si>
  <si>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</si>
  <si>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</si>
  <si>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</si>
  <si>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</si>
  <si>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</si>
  <si>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</si>
  <si>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</si>
  <si>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</si>
  <si>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</si>
  <si>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</si>
  <si>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</si>
  <si>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</si>
  <si>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</si>
  <si>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</si>
  <si>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</si>
  <si>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</si>
  <si>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</si>
  <si>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</si>
  <si>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</si>
  <si>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</si>
  <si>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</si>
  <si>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</si>
  <si>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</si>
  <si>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</si>
  <si>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</si>
  <si>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</si>
  <si>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</si>
  <si>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</si>
  <si>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</si>
  <si>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</si>
  <si>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</si>
  <si>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</si>
  <si>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</si>
  <si>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</si>
  <si>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</si>
  <si>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</si>
  <si>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</si>
  <si>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</si>
  <si>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</si>
  <si>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</si>
  <si>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</si>
  <si>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</si>
  <si>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</si>
  <si>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</si>
  <si>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</si>
  <si>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</si>
  <si>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</si>
  <si>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</si>
  <si>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</si>
  <si>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</si>
  <si>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</si>
  <si>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</si>
  <si>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</si>
  <si>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</si>
  <si>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</si>
  <si>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</si>
  <si>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</si>
  <si>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</si>
  <si>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</si>
  <si>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</si>
  <si>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</si>
  <si>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</si>
  <si>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</si>
  <si>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</si>
  <si>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</si>
  <si>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</si>
  <si>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</si>
  <si>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</si>
  <si>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</si>
  <si>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</si>
  <si>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</si>
  <si>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</si>
  <si>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</si>
  <si>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</si>
  <si>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</si>
  <si>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</si>
  <si>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</si>
  <si>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</si>
  <si>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</si>
  <si>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</si>
  <si>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</si>
  <si>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</si>
  <si>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</si>
  <si>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</si>
  <si>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</si>
  <si>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</si>
  <si>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</si>
  <si>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</si>
  <si>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</si>
  <si>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</si>
  <si>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</si>
  <si>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</si>
  <si>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</si>
  <si>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</si>
  <si>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</si>
  <si>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</si>
  <si>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</si>
  <si>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</si>
  <si>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</si>
  <si>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</si>
  <si>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</si>
  <si>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</si>
  <si>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</si>
  <si>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</si>
  <si>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</si>
  <si>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</si>
  <si>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</si>
  <si>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</si>
  <si>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</si>
  <si>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</si>
  <si>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</si>
  <si>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</si>
  <si>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</si>
  <si>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</si>
  <si>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</si>
  <si>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</si>
  <si>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</si>
  <si>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</si>
  <si>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</si>
  <si>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</si>
  <si>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</si>
  <si>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</si>
  <si>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</si>
  <si>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</si>
  <si>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</si>
  <si>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</si>
  <si>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</si>
  <si>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</si>
  <si>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</si>
  <si>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</si>
  <si>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</si>
  <si>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</si>
  <si>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</si>
  <si>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</si>
  <si>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</si>
  <si>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</si>
  <si>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</si>
  <si>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</si>
  <si>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</si>
  <si>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</si>
  <si>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</si>
  <si>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</si>
  <si>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</si>
  <si>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</si>
  <si>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</si>
  <si>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</si>
  <si>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</si>
  <si>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</si>
  <si>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</si>
  <si>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</si>
  <si>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</si>
  <si>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</si>
  <si>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</si>
  <si>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</si>
  <si>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</si>
  <si>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</si>
  <si>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</si>
  <si>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</si>
  <si>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</si>
  <si>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</si>
  <si>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</si>
  <si>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</si>
  <si>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</si>
  <si>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</si>
  <si>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</si>
  <si>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</si>
  <si>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</si>
  <si>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</si>
  <si>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</si>
  <si>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</si>
  <si>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</si>
  <si>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</si>
  <si>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</si>
  <si>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</si>
  <si>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</si>
  <si>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</si>
  <si>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</si>
  <si>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</si>
  <si>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</si>
  <si>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</si>
  <si>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</si>
  <si>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</si>
  <si>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</si>
  <si>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</si>
  <si>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</si>
  <si>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</si>
  <si>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</si>
  <si>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</si>
  <si>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</si>
  <si>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</si>
  <si>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</si>
  <si>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</si>
  <si>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</si>
  <si>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</si>
  <si>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</si>
  <si>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</si>
  <si>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</si>
  <si>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</si>
  <si>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</si>
  <si>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</si>
  <si>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</si>
  <si>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</si>
  <si>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</si>
  <si>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</si>
  <si>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</si>
  <si>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</si>
  <si>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</si>
  <si>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</si>
  <si>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</si>
  <si>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</si>
  <si>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</si>
  <si>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</si>
  <si>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</si>
  <si>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</si>
  <si>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</si>
  <si>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</si>
  <si>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</si>
  <si>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</si>
  <si>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</si>
  <si>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</si>
  <si>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</si>
  <si>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</si>
  <si>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</si>
  <si>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</si>
  <si>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</si>
  <si>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</si>
  <si>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</si>
  <si>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</si>
  <si>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</si>
  <si>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</si>
  <si>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</si>
  <si>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</si>
  <si>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</si>
  <si>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</si>
  <si>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</si>
  <si>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</si>
  <si>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</si>
  <si>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</si>
  <si>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</si>
  <si>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</si>
  <si>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</si>
  <si>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</si>
  <si>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</si>
  <si>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</si>
  <si>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</si>
  <si>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</si>
  <si>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</si>
  <si>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</si>
  <si>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</si>
  <si>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</si>
  <si>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</si>
  <si>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</si>
  <si>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</si>
  <si>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</si>
  <si>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</si>
  <si>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</si>
  <si>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</si>
  <si>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</si>
  <si>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</si>
  <si>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</si>
  <si>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</si>
  <si>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</si>
  <si>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</si>
  <si>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</si>
  <si>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</si>
  <si>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</si>
  <si>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</si>
  <si>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</si>
  <si>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</si>
  <si>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</si>
  <si>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</si>
  <si>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</si>
  <si>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</si>
  <si>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</si>
  <si>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</si>
  <si>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</si>
  <si>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</si>
  <si>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</si>
  <si>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</si>
  <si>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</si>
  <si>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</si>
  <si>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</si>
  <si>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</si>
  <si>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</si>
  <si>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</si>
  <si>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</si>
  <si>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</si>
  <si>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</si>
  <si>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</si>
  <si>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</si>
  <si>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</si>
  <si>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</si>
  <si>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</si>
  <si>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</si>
  <si>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</si>
  <si>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</si>
  <si>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</si>
  <si>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</si>
  <si>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</si>
  <si>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</si>
  <si>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</si>
  <si>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</si>
  <si>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</si>
  <si>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</si>
  <si>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</si>
  <si>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</si>
  <si>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</si>
  <si>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</si>
  <si>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</si>
  <si>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</si>
  <si>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</si>
  <si>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</si>
  <si>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</si>
  <si>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</si>
  <si>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</si>
  <si>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</si>
  <si>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</si>
  <si>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</si>
  <si>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</si>
  <si>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</si>
  <si>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</si>
  <si>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</si>
  <si>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</si>
  <si>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</si>
  <si>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</si>
  <si>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</si>
  <si>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</si>
  <si>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</si>
  <si>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</si>
  <si>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</si>
  <si>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</si>
  <si>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</si>
  <si>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</si>
  <si>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</si>
  <si>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</si>
  <si>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</si>
  <si>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</si>
  <si>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</si>
  <si>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</si>
  <si>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</si>
  <si>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</si>
  <si>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</si>
  <si>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</si>
  <si>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</si>
  <si>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</si>
  <si>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</si>
  <si>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</si>
  <si>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</si>
  <si>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</si>
  <si>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</si>
  <si>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</si>
  <si>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</si>
  <si>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</si>
  <si>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</si>
  <si>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</si>
  <si>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</si>
  <si>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</si>
  <si>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</si>
  <si>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</si>
  <si>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</si>
  <si>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</si>
  <si>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</si>
  <si>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</si>
  <si>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</si>
  <si>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</si>
  <si>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</si>
  <si>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</si>
  <si>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</si>
  <si>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</si>
  <si>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</si>
  <si>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</si>
  <si>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</si>
  <si>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</si>
  <si>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</si>
  <si>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</si>
  <si>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</si>
  <si>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</si>
  <si>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</si>
  <si>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</si>
  <si>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</si>
  <si>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</si>
  <si>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</si>
  <si>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</si>
  <si>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</si>
  <si>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</si>
  <si>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</si>
  <si>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</si>
  <si>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</si>
  <si>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</si>
  <si>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</si>
  <si>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</si>
  <si>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</si>
  <si>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</si>
  <si>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</si>
  <si>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</si>
  <si>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</si>
  <si>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</si>
  <si>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</si>
  <si>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</si>
  <si>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</si>
  <si>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</si>
  <si>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</si>
  <si>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</si>
  <si>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</si>
  <si>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</si>
  <si>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</si>
  <si>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</si>
  <si>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</si>
  <si>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</si>
  <si>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</si>
  <si>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</si>
  <si>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</si>
  <si>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</si>
  <si>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</si>
  <si>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</si>
  <si>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</si>
  <si>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</si>
  <si>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</si>
  <si>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</si>
  <si>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</si>
  <si>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</si>
  <si>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</si>
  <si>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</si>
  <si>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</si>
  <si>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</si>
  <si>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</si>
  <si>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</si>
  <si>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</si>
  <si>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</si>
  <si>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</si>
  <si>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</si>
  <si>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</si>
  <si>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</si>
  <si>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</si>
  <si>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</si>
  <si>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</si>
  <si>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</si>
  <si>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</si>
  <si>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</si>
  <si>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</si>
  <si>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</si>
  <si>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</si>
  <si>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</si>
  <si>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</si>
  <si>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</si>
  <si>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</si>
  <si>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</si>
  <si>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</si>
  <si>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</si>
  <si>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</si>
  <si>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</si>
  <si>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</si>
  <si>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</si>
  <si>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</si>
  <si>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</si>
  <si>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</si>
  <si>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</si>
  <si>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</si>
  <si>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</si>
  <si>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</si>
  <si>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</si>
  <si>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</si>
  <si>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</si>
  <si>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</si>
  <si>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</si>
  <si>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</si>
  <si>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</si>
  <si>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</si>
  <si>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</si>
  <si>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</si>
  <si>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</si>
  <si>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</si>
  <si>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</si>
  <si>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</si>
  <si>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</si>
  <si>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</si>
  <si>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</si>
  <si>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</si>
  <si>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</si>
  <si>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</si>
  <si>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</si>
  <si>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</si>
  <si>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</si>
  <si>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</si>
  <si>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</si>
  <si>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</si>
  <si>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</si>
  <si>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</si>
  <si>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</si>
  <si>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</si>
  <si>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</si>
  <si>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</si>
  <si>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</si>
  <si>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</si>
  <si>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</si>
  <si>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</si>
  <si>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</si>
  <si>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</si>
  <si>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</si>
  <si>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</si>
  <si>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</si>
  <si>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</si>
  <si>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</si>
  <si>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</si>
  <si>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</si>
  <si>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</si>
  <si>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</si>
  <si>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</si>
  <si>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</si>
  <si>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</si>
  <si>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</si>
  <si>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</si>
  <si>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</si>
  <si>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</si>
  <si>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</si>
  <si>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</si>
  <si>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</si>
  <si>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</si>
  <si>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</si>
  <si>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</si>
  <si>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</si>
  <si>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</si>
  <si>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</si>
  <si>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</si>
  <si>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</si>
  <si>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</si>
  <si>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</si>
  <si>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</si>
  <si>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</si>
  <si>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</si>
  <si>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</si>
  <si>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</si>
  <si>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</si>
  <si>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</si>
  <si>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</si>
  <si>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</si>
  <si>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</si>
  <si>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</si>
  <si>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</si>
  <si>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</si>
  <si>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</si>
  <si>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</si>
  <si>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</si>
  <si>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</si>
  <si>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</si>
  <si>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</si>
  <si>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</si>
  <si>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</si>
  <si>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</si>
  <si>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</si>
  <si>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</si>
  <si>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</si>
  <si>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</si>
  <si>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</si>
  <si>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</si>
  <si>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</si>
  <si>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</si>
  <si>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</si>
  <si>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</si>
  <si>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</si>
  <si>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</si>
  <si>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</si>
  <si>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</si>
  <si>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</si>
  <si>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</si>
  <si>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</si>
  <si>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</si>
  <si>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</si>
  <si>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</si>
  <si>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</si>
  <si>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</si>
  <si>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</si>
  <si>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</si>
  <si>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</si>
  <si>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</si>
  <si>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</si>
  <si>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</si>
  <si>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</si>
  <si>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</si>
  <si>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</si>
  <si>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</si>
  <si>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</si>
  <si>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</si>
  <si>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</si>
  <si>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</si>
  <si>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</si>
  <si>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</si>
  <si>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</si>
  <si>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</si>
  <si>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</si>
  <si>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</si>
  <si>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</si>
  <si>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</si>
  <si>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</si>
  <si>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</si>
  <si>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</si>
  <si>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</si>
  <si>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</si>
  <si>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</si>
  <si>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</si>
  <si>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</si>
  <si>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</si>
  <si>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</si>
  <si>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</si>
  <si>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</si>
  <si>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</si>
  <si>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</si>
  <si>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</si>
  <si>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</si>
  <si>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</si>
  <si>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</si>
  <si>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</si>
  <si>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</si>
  <si>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</si>
  <si>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</si>
  <si>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</si>
  <si>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</si>
  <si>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</si>
  <si>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</si>
  <si>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</si>
  <si>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</si>
  <si>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</si>
  <si>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</si>
  <si>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</si>
  <si>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</si>
  <si>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</si>
  <si>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</si>
  <si>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</si>
  <si>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</si>
  <si>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</si>
  <si>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</si>
  <si>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</si>
  <si>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</si>
  <si>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</si>
  <si>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</si>
  <si>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</si>
  <si>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</si>
  <si>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</si>
  <si>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</si>
  <si>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</si>
  <si>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</si>
  <si>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</si>
  <si>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</si>
  <si>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</si>
  <si>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</si>
  <si>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</si>
  <si>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</si>
  <si>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</si>
  <si>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</si>
  <si>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</si>
  <si>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</si>
  <si>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</si>
  <si>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</si>
  <si>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</si>
  <si>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</si>
  <si>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</si>
  <si>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</si>
  <si>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</si>
  <si>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</si>
  <si>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</si>
  <si>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</si>
  <si>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</si>
  <si>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</si>
  <si>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</si>
  <si>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</si>
  <si>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</si>
  <si>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</si>
  <si>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</si>
  <si>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</si>
  <si>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</si>
  <si>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</si>
  <si>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</si>
  <si>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</si>
  <si>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</si>
  <si>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</si>
  <si>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</si>
  <si>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</si>
  <si>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</si>
  <si>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</si>
  <si>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</si>
  <si>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</si>
  <si>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</si>
  <si>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</si>
  <si>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</si>
  <si>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</si>
  <si>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</si>
  <si>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</si>
  <si>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</si>
  <si>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</si>
  <si>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</si>
  <si>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</si>
  <si>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</si>
  <si>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</si>
  <si>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</si>
  <si>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</si>
  <si>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</si>
  <si>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</si>
  <si>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</si>
  <si>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</si>
  <si>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</si>
  <si>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</si>
  <si>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</si>
  <si>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</si>
  <si>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</si>
  <si>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</si>
  <si>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</si>
  <si>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</si>
  <si>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</si>
  <si>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</si>
  <si>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</si>
  <si>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</si>
  <si>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</si>
  <si>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</si>
  <si>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</si>
  <si>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</si>
  <si>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</si>
  <si>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</si>
  <si>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</si>
  <si>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</si>
  <si>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</si>
  <si>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</si>
  <si>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</si>
  <si>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</si>
  <si>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</si>
  <si>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</si>
  <si>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</si>
  <si>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</si>
  <si>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</si>
  <si>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</si>
  <si>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</si>
  <si>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</si>
  <si>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</si>
  <si>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</si>
  <si>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</si>
  <si>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</si>
  <si>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</si>
  <si>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</si>
  <si>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</si>
  <si>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</si>
  <si>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</si>
  <si>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</si>
  <si>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</si>
  <si>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</si>
  <si>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</si>
  <si>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</si>
  <si>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</si>
  <si>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</si>
  <si>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</si>
  <si>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</si>
  <si>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</si>
  <si>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</si>
  <si>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</si>
  <si>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</si>
  <si>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</si>
  <si>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</si>
  <si>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</si>
  <si>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</si>
  <si>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</si>
  <si>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</si>
  <si>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</si>
  <si>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</si>
  <si>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</si>
  <si>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</si>
  <si>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</si>
  <si>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</si>
  <si>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</si>
  <si>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</si>
  <si>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</si>
  <si>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</si>
  <si>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</si>
  <si>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</si>
  <si>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</si>
  <si>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</si>
  <si>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</si>
  <si>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</si>
  <si>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</si>
  <si>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</si>
  <si>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</si>
  <si>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</si>
  <si>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</si>
  <si>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</si>
  <si>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</si>
  <si>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</si>
  <si>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</si>
  <si>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</si>
  <si>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</si>
  <si>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</si>
  <si>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</si>
  <si>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</si>
  <si>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</si>
  <si>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</si>
  <si>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</si>
  <si>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</si>
  <si>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</si>
  <si>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</si>
  <si>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</si>
  <si>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</si>
  <si>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</si>
  <si>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</si>
  <si>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</si>
  <si>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</si>
  <si>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</si>
  <si>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</si>
  <si>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</si>
  <si>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</si>
  <si>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</si>
  <si>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</si>
  <si>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</si>
  <si>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</si>
  <si>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</si>
  <si>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</si>
  <si>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</si>
  <si>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</si>
  <si>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</si>
  <si>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</si>
  <si>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</si>
  <si>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</si>
  <si>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</si>
  <si>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</si>
  <si>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</si>
  <si>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</si>
  <si>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</si>
  <si>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</si>
  <si>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</si>
  <si>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</si>
  <si>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</si>
  <si>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</si>
  <si>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</si>
  <si>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</si>
  <si>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</si>
  <si>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</si>
  <si>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</si>
  <si>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</si>
  <si>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</si>
  <si>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</si>
  <si>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</si>
  <si>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</si>
  <si>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</si>
  <si>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</si>
  <si>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</si>
  <si>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</si>
  <si>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</si>
  <si>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</si>
  <si>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</si>
  <si>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</si>
  <si>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</si>
  <si>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</si>
  <si>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</si>
  <si>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</si>
  <si>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</si>
  <si>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</si>
  <si>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</si>
  <si>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</si>
  <si>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</si>
  <si>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</si>
  <si>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</si>
  <si>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</si>
  <si>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</si>
  <si>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</si>
  <si>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</si>
  <si>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</si>
  <si>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</si>
  <si>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</si>
  <si>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</si>
  <si>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</si>
  <si>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</si>
  <si>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</si>
  <si>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</si>
  <si>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</si>
  <si>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</si>
  <si>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</si>
  <si>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</si>
  <si>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</si>
  <si>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</si>
  <si>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</si>
  <si>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</si>
  <si>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</si>
  <si>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</si>
  <si>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</si>
  <si>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</si>
  <si>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</si>
  <si>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</si>
  <si>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</si>
  <si>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</si>
  <si>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</si>
  <si>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</si>
  <si>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</si>
  <si>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</si>
  <si>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</si>
  <si>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</si>
  <si>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</si>
  <si>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</si>
  <si>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</si>
  <si>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</si>
  <si>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</si>
  <si>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</si>
  <si>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</si>
  <si>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</si>
  <si>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</si>
  <si>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</si>
  <si>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</si>
  <si>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</si>
  <si>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</si>
  <si>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</si>
  <si>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</si>
  <si>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</si>
  <si>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</si>
  <si>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</si>
  <si>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</si>
  <si>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</si>
  <si>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</si>
  <si>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</si>
  <si>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</si>
  <si>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</si>
  <si>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</si>
  <si>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</si>
  <si>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</si>
  <si>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</si>
  <si>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</si>
  <si>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</si>
  <si>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</si>
  <si>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</si>
  <si>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</si>
  <si>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</si>
  <si>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</si>
  <si>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</si>
  <si>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</si>
  <si>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</si>
  <si>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</si>
  <si>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</si>
  <si>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</si>
  <si>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</si>
  <si>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</si>
  <si>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</si>
  <si>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</si>
  <si>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</si>
  <si>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</si>
  <si>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</si>
  <si>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</si>
  <si>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</si>
  <si>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</si>
  <si>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</si>
  <si>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</si>
  <si>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</si>
  <si>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</si>
  <si>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</si>
  <si>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</si>
  <si>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</si>
  <si>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</si>
  <si>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</si>
  <si>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</si>
  <si>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</si>
  <si>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</si>
  <si>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</si>
  <si>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</si>
  <si>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</si>
  <si>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</si>
  <si>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</si>
  <si>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</si>
  <si>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</si>
  <si>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</si>
  <si>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</si>
  <si>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</si>
  <si>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</si>
  <si>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</si>
  <si>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</si>
  <si>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</si>
  <si>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</si>
  <si>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</si>
  <si>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</si>
  <si>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</si>
  <si>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</si>
  <si>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</si>
  <si>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</si>
  <si>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</si>
  <si>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</si>
  <si>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</si>
  <si>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</si>
  <si>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</si>
  <si>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</si>
  <si>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</si>
  <si>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</si>
  <si>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</si>
  <si>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</si>
  <si>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</si>
  <si>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</si>
  <si>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</si>
  <si>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</si>
  <si>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</si>
  <si>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</si>
  <si>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</si>
  <si>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</si>
  <si>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</si>
  <si>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</si>
  <si>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</si>
  <si>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</si>
  <si>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</si>
  <si>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</si>
  <si>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</si>
  <si>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</si>
  <si>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</si>
  <si>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</si>
  <si>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</si>
  <si>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</si>
  <si>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</si>
  <si>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</si>
  <si>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</si>
  <si>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</si>
  <si>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</si>
  <si>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</si>
  <si>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</si>
  <si>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</si>
  <si>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</si>
  <si>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</si>
  <si>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</si>
  <si>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</si>
  <si>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</si>
  <si>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</si>
  <si>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</si>
  <si>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</si>
  <si>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</si>
  <si>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</si>
  <si>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</si>
  <si>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</si>
  <si>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</si>
  <si>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</si>
  <si>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</si>
  <si>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</si>
  <si>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</si>
  <si>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</si>
  <si>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</si>
  <si>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</si>
  <si>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</si>
  <si>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</si>
  <si>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</si>
  <si>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</si>
  <si>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</si>
  <si>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</si>
  <si>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</si>
  <si>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</si>
  <si>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</si>
  <si>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</si>
  <si>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</si>
  <si>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</si>
  <si>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</si>
  <si>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</si>
  <si>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</si>
  <si>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</si>
  <si>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</si>
  <si>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</si>
  <si>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</si>
  <si>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</si>
  <si>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</si>
  <si>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</si>
  <si>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</si>
  <si>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</si>
  <si>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</si>
  <si>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</si>
  <si>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</si>
  <si>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</si>
  <si>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</si>
  <si>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</si>
  <si>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</si>
  <si>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</si>
  <si>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</si>
  <si>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</si>
  <si>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</si>
  <si>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</si>
  <si>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</si>
  <si>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</si>
  <si>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</si>
  <si>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</si>
  <si>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</si>
  <si>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</si>
  <si>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</si>
  <si>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</si>
  <si>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</si>
  <si>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</si>
  <si>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</si>
  <si>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</si>
  <si>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</si>
  <si>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</si>
  <si>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</si>
  <si>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</si>
  <si>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</si>
  <si>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</si>
  <si>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</si>
  <si>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</si>
  <si>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</si>
  <si>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</si>
  <si>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</si>
  <si>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</si>
  <si>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</si>
  <si>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</si>
  <si>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</si>
  <si>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</si>
  <si>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</si>
  <si>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</si>
  <si>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</si>
  <si>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</si>
  <si>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</si>
  <si>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</si>
  <si>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</si>
  <si>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</si>
  <si>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</si>
  <si>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</si>
  <si>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</si>
  <si>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</si>
  <si>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</si>
  <si>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</si>
  <si>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</si>
  <si>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</si>
  <si>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</si>
  <si>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</si>
  <si>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</si>
  <si>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</si>
  <si>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</si>
  <si>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</si>
  <si>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</si>
  <si>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</si>
  <si>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</si>
  <si>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</si>
  <si>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</si>
  <si>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</si>
  <si>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</si>
  <si>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</si>
  <si>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</si>
  <si>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</si>
  <si>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</si>
  <si>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</si>
  <si>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</si>
  <si>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</si>
  <si>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</si>
  <si>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</si>
  <si>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</si>
  <si>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</si>
  <si>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</si>
  <si>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</si>
  <si>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</si>
  <si>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</si>
  <si>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</si>
  <si>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</si>
  <si>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</si>
  <si>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</si>
  <si>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</si>
  <si>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</si>
  <si>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</si>
  <si>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</si>
  <si>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</si>
  <si>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</si>
  <si>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</si>
  <si>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</si>
  <si>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</si>
  <si>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</si>
  <si>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</si>
  <si>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</si>
  <si>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</si>
  <si>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</si>
  <si>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</si>
  <si>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</si>
  <si>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</si>
  <si>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</si>
  <si>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</si>
  <si>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</si>
  <si>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</si>
  <si>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</si>
  <si>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</si>
  <si>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</si>
  <si>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</si>
  <si>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</si>
  <si>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</si>
  <si>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</si>
  <si>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</si>
  <si>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</si>
  <si>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</si>
  <si>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</si>
  <si>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</si>
  <si>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</si>
  <si>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</si>
  <si>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</si>
  <si>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</si>
  <si>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</si>
  <si>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</si>
  <si>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</si>
  <si>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</si>
  <si>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</si>
  <si>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</si>
  <si>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</si>
  <si>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</si>
  <si>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</si>
  <si>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</si>
  <si>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</si>
  <si>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</si>
  <si>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</si>
  <si>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</si>
  <si>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</si>
  <si>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</si>
  <si>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</si>
  <si>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</si>
  <si>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</si>
  <si>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</si>
  <si>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</si>
  <si>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</si>
  <si>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</si>
  <si>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</si>
  <si>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</si>
  <si>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</si>
  <si>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</si>
  <si>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</si>
  <si>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</si>
  <si>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</si>
  <si>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</si>
  <si>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</si>
  <si>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</si>
  <si>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</si>
  <si>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</si>
  <si>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</si>
  <si>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</si>
  <si>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</si>
  <si>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</si>
  <si>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</si>
  <si>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</si>
  <si>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</si>
  <si>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</si>
  <si>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</si>
  <si>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</si>
  <si>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</si>
  <si>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</si>
  <si>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</si>
  <si>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</si>
  <si>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</si>
  <si>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</si>
  <si>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</si>
  <si>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</si>
  <si>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</si>
  <si>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</si>
  <si>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</si>
  <si>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</si>
  <si>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</si>
  <si>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</si>
  <si>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</si>
  <si>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</si>
  <si>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</si>
  <si>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</si>
  <si>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</si>
  <si>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</si>
  <si>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</si>
  <si>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</si>
  <si>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</si>
  <si>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</si>
  <si>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</si>
  <si>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</si>
  <si>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</si>
  <si>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</si>
  <si>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</si>
  <si>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</si>
  <si>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</si>
  <si>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</si>
  <si>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</si>
  <si>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</si>
  <si>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</si>
  <si>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</si>
  <si>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</si>
  <si>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</si>
  <si>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</si>
  <si>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</si>
  <si>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</si>
  <si>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</si>
  <si>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</si>
  <si>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</si>
  <si>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</si>
  <si>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</si>
  <si>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</si>
  <si>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</si>
  <si>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</si>
  <si>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</si>
  <si>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</si>
  <si>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</si>
  <si>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</si>
  <si>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</si>
  <si>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</si>
  <si>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</si>
  <si>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</si>
  <si>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</si>
  <si>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</si>
  <si>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</si>
  <si>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</si>
  <si>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</si>
  <si>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</si>
  <si>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</si>
  <si>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</si>
  <si>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</si>
  <si>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</si>
  <si>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</si>
  <si>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</si>
  <si>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</si>
  <si>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</si>
  <si>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</si>
  <si>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</si>
  <si>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</si>
  <si>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</si>
  <si>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</si>
  <si>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</si>
  <si>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</si>
  <si>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</si>
  <si>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</si>
  <si>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</si>
  <si>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</si>
  <si>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</si>
  <si>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</si>
  <si>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</si>
  <si>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</si>
  <si>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</si>
  <si>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</si>
  <si>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</si>
  <si>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</si>
  <si>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</si>
  <si>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</si>
  <si>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</si>
  <si>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</si>
  <si>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</si>
  <si>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</si>
  <si>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</si>
  <si>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</si>
  <si>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</si>
  <si>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</si>
  <si>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</si>
  <si>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</si>
  <si>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</si>
  <si>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</si>
  <si>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</si>
  <si>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</si>
  <si>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</si>
  <si>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</si>
  <si>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</si>
  <si>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</si>
  <si>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</si>
  <si>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</si>
  <si>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</si>
  <si>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</si>
  <si>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</si>
  <si>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</si>
  <si>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</si>
  <si>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</si>
  <si>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</si>
  <si>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</si>
  <si>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</si>
  <si>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</si>
  <si>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</si>
  <si>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</si>
  <si>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</si>
  <si>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</si>
  <si>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</si>
  <si>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</si>
  <si>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</si>
  <si>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</si>
  <si>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</si>
  <si>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</si>
  <si>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</si>
  <si>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</si>
  <si>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</si>
  <si>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</si>
  <si>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</si>
  <si>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</si>
  <si>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</si>
  <si>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</si>
  <si>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</si>
  <si>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</si>
  <si>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</si>
  <si>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</si>
  <si>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</si>
  <si>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</si>
  <si>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</si>
  <si>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</si>
  <si>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</si>
  <si>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</si>
  <si>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</si>
  <si>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</si>
  <si>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</si>
  <si>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</si>
  <si>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</si>
  <si>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</si>
  <si>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</si>
  <si>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</si>
  <si>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</si>
  <si>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</si>
  <si>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</si>
  <si>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</si>
  <si>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</si>
  <si>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</si>
  <si>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</si>
  <si>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</si>
  <si>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</si>
  <si>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</si>
  <si>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</si>
  <si>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</si>
  <si>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</si>
  <si>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</si>
  <si>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</si>
  <si>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</si>
  <si>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</si>
  <si>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</si>
  <si>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</si>
  <si>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</si>
  <si>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</si>
  <si>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</si>
  <si>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</si>
  <si>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</si>
  <si>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</si>
  <si>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</si>
  <si>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</si>
  <si>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</si>
  <si>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</si>
  <si>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</si>
  <si>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</si>
  <si>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</si>
  <si>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</si>
  <si>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</si>
  <si>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</si>
  <si>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</si>
  <si>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</si>
  <si>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</si>
  <si>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</si>
  <si>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</si>
  <si>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</si>
  <si>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</si>
  <si>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</si>
  <si>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</si>
  <si>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</si>
  <si>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</si>
  <si>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</si>
  <si>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</si>
  <si>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</si>
  <si>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</si>
  <si>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</si>
  <si>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</si>
  <si>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</si>
  <si>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</si>
  <si>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</si>
  <si>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</si>
  <si>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</si>
  <si>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</si>
  <si>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</si>
  <si>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</si>
  <si>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</si>
  <si>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</si>
  <si>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</si>
  <si>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</si>
  <si>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</si>
  <si>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</si>
  <si>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</si>
  <si>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</si>
  <si>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</si>
  <si>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</si>
  <si>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</si>
  <si>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</si>
  <si>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</si>
  <si>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</si>
  <si>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</si>
  <si>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</si>
  <si>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</si>
  <si>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</si>
  <si>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</si>
  <si>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</si>
  <si>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</si>
  <si>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</si>
  <si>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</si>
  <si>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</si>
  <si>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</si>
  <si>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</si>
  <si>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</si>
  <si>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</si>
  <si>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</si>
  <si>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</si>
  <si>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</si>
  <si>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</si>
  <si>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</si>
  <si>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</si>
  <si>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</si>
  <si>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</si>
  <si>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</si>
  <si>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</si>
  <si>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</si>
  <si>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</si>
  <si>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</si>
  <si>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</si>
  <si>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</si>
  <si>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</si>
  <si>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</si>
  <si>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</si>
  <si>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</si>
  <si>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</si>
  <si>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</si>
  <si>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</si>
  <si>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</si>
  <si>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</si>
  <si>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</si>
  <si>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</si>
  <si>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</si>
  <si>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</si>
  <si>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</si>
  <si>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</si>
  <si>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</si>
  <si>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</si>
  <si>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</si>
  <si>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</si>
  <si>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</si>
  <si>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</si>
  <si>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</si>
  <si>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</si>
  <si>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</si>
  <si>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</si>
  <si>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</si>
  <si>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</si>
  <si>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</si>
  <si>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</si>
  <si>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</si>
  <si>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</si>
  <si>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</si>
  <si>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</si>
  <si>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</si>
  <si>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</si>
  <si>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</si>
  <si>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</si>
  <si>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</si>
  <si>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</si>
  <si>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</si>
  <si>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</si>
  <si>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</si>
  <si>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</si>
  <si>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</si>
  <si>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</si>
  <si>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</si>
  <si>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</si>
  <si>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</si>
  <si>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</si>
  <si>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</si>
  <si>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</si>
  <si>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</si>
  <si>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</si>
  <si>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</si>
  <si>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</si>
  <si>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</si>
  <si>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</si>
  <si>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</si>
  <si>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</si>
  <si>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</si>
  <si>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</si>
  <si>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</si>
  <si>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</si>
  <si>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</si>
  <si>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</si>
  <si>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</si>
  <si>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</si>
  <si>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</si>
  <si>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</si>
  <si>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</si>
  <si>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</si>
  <si>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</si>
  <si>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</si>
  <si>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</si>
  <si>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</si>
  <si>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</si>
  <si>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</si>
  <si>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</si>
  <si>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</si>
  <si>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</si>
  <si>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</si>
  <si>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</si>
  <si>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</si>
  <si>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</si>
  <si>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</si>
  <si>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</si>
  <si>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</si>
  <si>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</si>
  <si>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</si>
  <si>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</si>
  <si>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</si>
  <si>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</si>
  <si>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</si>
  <si>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</si>
  <si>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</si>
  <si>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</si>
  <si>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</si>
  <si>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</si>
  <si>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</si>
  <si>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</si>
  <si>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</si>
  <si>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</si>
  <si>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</si>
  <si>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</si>
  <si>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</si>
  <si>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</si>
  <si>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</si>
  <si>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</si>
  <si>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</si>
  <si>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</si>
  <si>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</si>
  <si>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</si>
  <si>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</si>
  <si>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</si>
  <si>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</si>
  <si>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</si>
  <si>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</si>
  <si>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</si>
  <si>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</si>
  <si>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</si>
  <si>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</si>
  <si>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</si>
  <si>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</si>
  <si>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</si>
  <si>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</si>
  <si>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</si>
  <si>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</si>
  <si>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</si>
  <si>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</si>
  <si>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</si>
  <si>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</si>
  <si>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</si>
  <si>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</si>
  <si>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</si>
  <si>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</si>
  <si>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</si>
  <si>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</si>
  <si>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</si>
  <si>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</si>
  <si>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</si>
  <si>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</si>
  <si>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</si>
  <si>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</si>
  <si>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</si>
  <si>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</si>
  <si>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</si>
  <si>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</si>
  <si>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</si>
  <si>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</si>
  <si>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</si>
  <si>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</si>
  <si>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</si>
  <si>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</si>
  <si>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</si>
  <si>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</si>
  <si>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</si>
  <si>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</si>
  <si>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</si>
  <si>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</si>
  <si>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</si>
  <si>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</si>
  <si>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</si>
  <si>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</si>
  <si>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</si>
  <si>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</si>
  <si>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</si>
  <si>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</si>
  <si>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</si>
  <si>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</si>
  <si>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</si>
  <si>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</si>
  <si>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</si>
  <si>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</si>
  <si>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</si>
  <si>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</si>
  <si>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</si>
  <si>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</si>
  <si>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</si>
  <si>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</si>
  <si>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</si>
  <si>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</si>
  <si>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</si>
  <si>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</si>
  <si>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</si>
  <si>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</si>
  <si>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</si>
  <si>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</si>
  <si>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</si>
  <si>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</si>
  <si>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</si>
  <si>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</si>
  <si>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</si>
  <si>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</si>
  <si>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</si>
  <si>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</si>
  <si>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</si>
  <si>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</si>
  <si>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</si>
  <si>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</si>
  <si>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</si>
  <si>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</si>
  <si>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</si>
  <si>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</si>
  <si>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</si>
  <si>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</si>
  <si>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</si>
  <si>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</si>
  <si>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</si>
  <si>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</si>
  <si>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</si>
  <si>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</si>
  <si>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</si>
  <si>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</si>
  <si>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</si>
  <si>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</si>
  <si>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</si>
  <si>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</si>
  <si>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</si>
  <si>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</si>
  <si>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</si>
  <si>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</si>
  <si>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</si>
  <si>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</si>
  <si>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</si>
  <si>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</si>
  <si>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</si>
  <si>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</si>
  <si>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</si>
  <si>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</si>
  <si>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</si>
  <si>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</si>
  <si>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</si>
  <si>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</si>
  <si>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</si>
  <si>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</si>
  <si>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</si>
  <si>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</si>
  <si>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</si>
  <si>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</si>
  <si>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</si>
  <si>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</si>
  <si>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</si>
  <si>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</si>
  <si>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</si>
  <si>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</si>
  <si>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</si>
  <si>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</si>
  <si>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</si>
  <si>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</si>
  <si>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</si>
  <si>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</si>
  <si>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</si>
  <si>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</si>
  <si>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</si>
  <si>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</si>
  <si>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</si>
  <si>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</si>
  <si>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</si>
  <si>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</si>
  <si>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</si>
  <si>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</si>
  <si>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</si>
  <si>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</si>
  <si>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</si>
  <si>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</si>
  <si>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</si>
  <si>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</si>
  <si>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</si>
  <si>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</si>
  <si>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</si>
  <si>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</si>
  <si>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</si>
  <si>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</si>
  <si>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</si>
  <si>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</si>
  <si>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</si>
  <si>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</si>
  <si>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</si>
  <si>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</si>
  <si>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</si>
  <si>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</si>
  <si>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</si>
  <si>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</si>
  <si>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</si>
  <si>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</si>
  <si>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</si>
  <si>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</si>
  <si>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</si>
  <si>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</si>
  <si>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</si>
  <si>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</si>
  <si>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</si>
  <si>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</si>
  <si>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</si>
  <si>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</si>
  <si>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</si>
  <si>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</si>
  <si>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</si>
  <si>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</si>
  <si>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</si>
  <si>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</si>
  <si>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</si>
  <si>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</si>
  <si>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</si>
  <si>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</si>
  <si>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</si>
  <si>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</si>
  <si>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</si>
  <si>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</si>
  <si>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</si>
  <si>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</si>
  <si>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</si>
  <si>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</si>
  <si>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</si>
  <si>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</si>
  <si>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</si>
  <si>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</si>
  <si>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</si>
  <si>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</si>
  <si>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</si>
  <si>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</si>
  <si>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</si>
  <si>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</si>
  <si>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</si>
  <si>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</si>
  <si>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</si>
  <si>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</si>
  <si>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</si>
  <si>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</si>
  <si>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</si>
  <si>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</si>
  <si>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</si>
  <si>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</si>
  <si>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</si>
  <si>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</si>
  <si>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</si>
  <si>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</si>
  <si>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</si>
  <si>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</si>
  <si>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</si>
  <si>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</si>
  <si>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</si>
  <si>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</si>
  <si>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</si>
  <si>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</si>
  <si>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</si>
  <si>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</si>
  <si>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</si>
  <si>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</si>
  <si>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</si>
  <si>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</si>
  <si>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</si>
  <si>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</si>
  <si>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</si>
  <si>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</si>
  <si>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</si>
  <si>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</si>
  <si>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</si>
  <si>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</si>
  <si>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</si>
  <si>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</si>
  <si>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</si>
  <si>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</si>
  <si>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</si>
  <si>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</si>
  <si>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</si>
  <si>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</si>
  <si>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</si>
  <si>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</si>
  <si>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</si>
  <si>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</si>
  <si>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</si>
  <si>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</si>
  <si>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</si>
  <si>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</si>
  <si>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</si>
  <si>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</si>
  <si>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</si>
  <si>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</si>
  <si>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</si>
  <si>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</si>
  <si>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</si>
  <si>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</si>
  <si>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</si>
  <si>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</si>
  <si>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</si>
  <si>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</si>
  <si>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</si>
  <si>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</si>
  <si>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</si>
  <si>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</si>
  <si>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</si>
  <si>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</si>
  <si>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</si>
  <si>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</si>
  <si>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</si>
  <si>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</si>
  <si>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</si>
  <si>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</si>
  <si>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</si>
  <si>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</si>
  <si>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</si>
  <si>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</si>
  <si>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</si>
  <si>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</si>
  <si>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</si>
  <si>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</si>
  <si>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</si>
  <si>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</si>
  <si>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</si>
  <si>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</si>
  <si>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</si>
  <si>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</si>
  <si>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</si>
  <si>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</si>
  <si>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</si>
  <si>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</si>
  <si>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</si>
  <si>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</si>
  <si>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</si>
  <si>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</si>
  <si>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</si>
  <si>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</si>
  <si>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</si>
  <si>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</si>
  <si>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</si>
  <si>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</si>
  <si>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</si>
  <si>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</si>
  <si>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</si>
  <si>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</si>
  <si>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</si>
  <si>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</si>
  <si>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Coffee Type</t>
  </si>
  <si>
    <t>Roast Type</t>
  </si>
  <si>
    <t>Size</t>
  </si>
  <si>
    <t>Unit Price</t>
  </si>
  <si>
    <t>Price per 100g</t>
  </si>
  <si>
    <t>Profit</t>
  </si>
  <si>
    <t>Ara</t>
  </si>
  <si>
    <t>L</t>
  </si>
  <si>
    <t>Light</t>
  </si>
  <si>
    <t>Arabica</t>
  </si>
  <si>
    <t>M</t>
  </si>
  <si>
    <t>Medium</t>
  </si>
  <si>
    <t>D</t>
  </si>
  <si>
    <t>Dark</t>
  </si>
  <si>
    <t>Rob</t>
  </si>
  <si>
    <t>Robuster</t>
  </si>
  <si>
    <t>Lib</t>
  </si>
  <si>
    <t>Liberia</t>
  </si>
  <si>
    <t>Exc</t>
  </si>
  <si>
    <t>Excelsa</t>
  </si>
  <si>
    <t>orders table</t>
  </si>
  <si>
    <t>customer infor</t>
  </si>
  <si>
    <t>product info</t>
  </si>
  <si>
    <t>about the porduct</t>
  </si>
  <si>
    <t>US</t>
  </si>
  <si>
    <t>all orders made</t>
  </si>
  <si>
    <t>customers information</t>
  </si>
  <si>
    <t>searley4q@yoUnited Kingdomu.com</t>
  </si>
  <si>
    <t>United State</t>
  </si>
  <si>
    <t>Roberia</t>
  </si>
  <si>
    <t>Excelia</t>
  </si>
  <si>
    <t>Arabia</t>
  </si>
  <si>
    <t>Coffee_Type</t>
  </si>
  <si>
    <t>Large</t>
  </si>
  <si>
    <t>Roast_Type</t>
  </si>
  <si>
    <t>Column1</t>
  </si>
  <si>
    <t>Sales</t>
  </si>
  <si>
    <t>Sum of Sales</t>
  </si>
  <si>
    <t>Sum of Quantity</t>
  </si>
  <si>
    <t>Sum of Profit</t>
  </si>
  <si>
    <t>Total</t>
  </si>
  <si>
    <t>Count of Order ID</t>
  </si>
  <si>
    <t>Row Labels</t>
  </si>
  <si>
    <t>Grand Total</t>
  </si>
  <si>
    <t>Distinct Count of Customer ID</t>
  </si>
  <si>
    <t>Months</t>
  </si>
  <si>
    <t>September</t>
  </si>
  <si>
    <t>June</t>
  </si>
  <si>
    <t>July</t>
  </si>
  <si>
    <t>August</t>
  </si>
  <si>
    <t>January</t>
  </si>
  <si>
    <t>May</t>
  </si>
  <si>
    <t>March</t>
  </si>
  <si>
    <t>October</t>
  </si>
  <si>
    <t>April</t>
  </si>
  <si>
    <t>December</t>
  </si>
  <si>
    <t>February</t>
  </si>
  <si>
    <t>November</t>
  </si>
  <si>
    <t>Qtr1</t>
  </si>
  <si>
    <t>Qtr2</t>
  </si>
  <si>
    <t>Qtr3</t>
  </si>
  <si>
    <t>Qtr4</t>
  </si>
  <si>
    <t>Sum of Unit Price</t>
  </si>
  <si>
    <t>\</t>
  </si>
  <si>
    <t>Total Sales</t>
  </si>
  <si>
    <t>No Customers</t>
  </si>
  <si>
    <t>Total Orders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</si>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</sst>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quot;$&quot;#,##0.00"/>
    <numFmt numFmtId="166" formatCode="&quot;$&quot;#,##0"/>
  </numFmts>
  <fonts count="2" x14ac:knownFonts="1">
    <font>
      <sz val="11"/>
      <color theme="1"/>
      <name val="Calibri"/>
      <family val="2"/>
      <scheme val="minor"/>
    </font>
    <font>
      <sz val="11"/>
      <color theme="1" tint="0.3499862666707357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4" fontId="0" fillId="0" borderId="0" xfId="0" applyNumberFormat="1"/>
    <xf numFmtId="10" fontId="0" fillId="0" borderId="0" xfId="0" applyNumberFormat="1"/>
    <xf numFmtId="0" fontId="1" fillId="0" borderId="0" xfId="0" applyFont="1" applyFill="1"/>
  </cellXfs>
  <cellStyles count="1">
    <cellStyle name="Normal" xfId="0" builtinId="0"/>
  </cellStyles>
  <dxfs count="32">
    <dxf>
      <numFmt numFmtId="165" formatCode="&quot;$&quot;#,##0.00"/>
    </dxf>
    <dxf>
      <numFmt numFmtId="0" formatCode="General"/>
    </dxf>
    <dxf>
      <numFmt numFmtId="0" formatCode="General"/>
    </dxf>
    <dxf>
      <numFmt numFmtId="0" formatCode="General"/>
    </dxf>
    <dxf>
      <numFmt numFmtId="19" formatCode="m/d/yyyy"/>
    </dxf>
    <dxf>
      <numFmt numFmtId="165" formatCode="&quot;$&quot;#,##0.00"/>
    </dxf>
    <dxf>
      <numFmt numFmtId="0" formatCode="General"/>
    </dxf>
    <dxf>
      <numFmt numFmtId="0" formatCode="General"/>
    </dxf>
    <dxf>
      <numFmt numFmtId="0" formatCode="General"/>
    </dxf>
    <dxf>
      <numFmt numFmtId="19" formatCode="m/d/yyyy"/>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4" formatCode="_(* #,##0_);_(* \(#,##0\);_(* &quot;-&quot;??_);_(@_)"/>
    </dxf>
    <dxf>
      <numFmt numFmtId="14" formatCode="0.00%"/>
    </dxf>
    <dxf>
      <numFmt numFmtId="166" formatCode="&quot;$&quot;#,##0"/>
    </dxf>
    <dxf>
      <numFmt numFmtId="14" formatCode="0.00%"/>
    </dxf>
    <dxf>
      <numFmt numFmtId="166" formatCode="&quot;$&quot;#,##0"/>
    </dxf>
    <dxf>
      <numFmt numFmtId="166" formatCode="&quot;$&quot;#,##0"/>
    </dxf>
    <dxf>
      <numFmt numFmtId="166" formatCode="&quot;$&quot;#,##0"/>
    </dxf>
    <dxf>
      <numFmt numFmtId="166" formatCode="&quot;$&quot;#,##0"/>
    </dxf>
    <dxf>
      <font>
        <b/>
        <i val="0"/>
        <sz val="12"/>
        <color rgb="FF6F4E37"/>
        <name val="Arial"/>
        <family val="2"/>
        <scheme val="none"/>
      </font>
      <border>
        <vertical/>
        <horizontal/>
      </border>
    </dxf>
    <dxf>
      <font>
        <color theme="1"/>
      </font>
      <fill>
        <patternFill patternType="none">
          <bgColor auto="1"/>
        </patternFill>
      </fill>
      <border diagonalUp="0" diagonalDown="0">
        <left/>
        <right/>
        <top/>
        <bottom/>
        <vertical/>
        <horizontal/>
      </border>
    </dxf>
    <dxf>
      <font>
        <b/>
        <i val="0"/>
        <sz val="14"/>
        <color rgb="FF6F4E37"/>
        <name val="Arial"/>
        <family val="2"/>
        <scheme val="none"/>
      </font>
      <fill>
        <patternFill>
          <bgColor rgb="FFFFFAF7"/>
        </patternFill>
      </fill>
      <border diagonalUp="0" diagonalDown="0">
        <left/>
        <right/>
        <top/>
        <bottom/>
        <vertical/>
        <horizontal/>
      </border>
    </dxf>
    <dxf>
      <font>
        <color rgb="FFFFFAF7"/>
      </font>
      <fill>
        <patternFill patternType="solid">
          <bgColor rgb="FFFFFAF7"/>
        </patternFill>
      </fill>
      <border diagonalUp="0" diagonalDown="0">
        <left/>
        <right/>
        <top/>
        <bottom/>
        <vertical/>
        <horizontal/>
      </border>
    </dxf>
    <dxf>
      <font>
        <b val="0"/>
        <i val="0"/>
        <strike val="0"/>
        <sz val="11"/>
        <color theme="5" tint="-0.499984740745262"/>
        <name val="Arial"/>
        <family val="2"/>
        <scheme val="none"/>
      </font>
      <fill>
        <patternFill>
          <bgColor rgb="FF6F4E37"/>
        </patternFill>
      </fill>
      <border diagonalUp="0" diagonalDown="0">
        <left/>
        <right/>
        <top/>
        <bottom/>
        <vertical/>
        <horizontal/>
      </border>
    </dxf>
    <dxf>
      <font>
        <sz val="11"/>
        <color rgb="FFE6CCB2"/>
        <name val="Arial"/>
        <family val="2"/>
      </font>
      <fill>
        <patternFill patternType="none">
          <bgColor auto="1"/>
        </patternFill>
      </fill>
      <border diagonalUp="0" diagonalDown="0">
        <left/>
        <right/>
        <top/>
        <bottom/>
        <vertical/>
        <horizontal/>
      </border>
    </dxf>
  </dxfs>
  <tableStyles count="3" defaultTableStyle="TableStyleMedium2" defaultPivotStyle="PivotStyleLight16">
    <tableStyle name="SlicerStyleLight1 2" pivot="0" table="0" count="10" xr9:uid="{3B83780C-6B74-4431-92CB-DCE418E49AA0}">
      <tableStyleElement type="wholeTable" dxfId="31"/>
      <tableStyleElement type="headerRow" dxfId="30"/>
    </tableStyle>
    <tableStyle name="SlicerStyleLight1 3" pivot="0" table="0" count="10" xr9:uid="{AA9341CD-7C58-4F24-BAA6-D1DF965637F1}">
      <tableStyleElement type="wholeTable" dxfId="29"/>
      <tableStyleElement type="headerRow" dxfId="28"/>
    </tableStyle>
    <tableStyle name="TimeSlicerStyleLight6 2" pivot="0" table="0" count="9" xr9:uid="{1C4CBCC1-059B-435F-983C-363D3C5C43AC}">
      <tableStyleElement type="wholeTable" dxfId="27"/>
      <tableStyleElement type="headerRow" dxfId="26"/>
    </tableStyle>
  </tableStyles>
  <colors>
    <mruColors>
      <color rgb="FF6F4E37"/>
      <color rgb="FF674E37"/>
      <color rgb="FF6F437F"/>
      <color rgb="FF6F4E7F"/>
      <color rgb="FFFFFFFF"/>
      <color rgb="FFE6CCB2"/>
      <color rgb="FF6F4373"/>
      <color rgb="FF333333"/>
      <color rgb="FFFFFAF7"/>
      <color rgb="FFD4A37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6F4E3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6F4E37"/>
            </patternFill>
          </fill>
          <border>
            <left style="thin">
              <color rgb="FF999999"/>
            </left>
            <right style="thin">
              <color rgb="FF999999"/>
            </right>
            <top style="thin">
              <color rgb="FF999999"/>
            </top>
            <bottom style="thin">
              <color rgb="FF999999"/>
            </bottom>
            <vertical/>
            <horizontal/>
          </border>
        </dxf>
        <dxf>
          <font>
            <sz val="14"/>
            <color rgb="FF6F4E37"/>
            <name val="Arial"/>
            <family val="2"/>
            <scheme val="none"/>
          </font>
          <fill>
            <patternFill patternType="solid">
              <fgColor theme="0"/>
              <bgColor theme="4" tint="0.79995117038483843"/>
            </patternFill>
          </fill>
          <border>
            <left style="thin">
              <color rgb="FFCCCCCC"/>
            </left>
            <right style="thin">
              <color rgb="FFCCCCCC"/>
            </right>
            <top style="thin">
              <color rgb="FFCCCCCC"/>
            </top>
            <bottom style="thin">
              <color rgb="FFCCCCCC"/>
            </bottom>
            <vertical/>
            <horizontal/>
          </border>
        </dxf>
        <dxf>
          <font>
            <sz val="12"/>
            <color theme="1" tint="0.14993743705557422"/>
            <name val="Arial"/>
            <family val="2"/>
            <scheme val="none"/>
          </font>
          <fill>
            <patternFill>
              <fgColor rgb="FF6F4E37"/>
              <bgColor rgb="FF674E3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6F4E37"/>
            <name val="Arial"/>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6"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D4A373"/>
            </patternFill>
          </fill>
          <border>
            <left style="thin">
              <color rgb="FFCCCCCC"/>
            </left>
            <right style="thin">
              <color rgb="FFCCCCCC"/>
            </right>
            <top style="thin">
              <color rgb="FFCCCCCC"/>
            </top>
            <bottom style="thin">
              <color rgb="FFCCCCCC"/>
            </bottom>
            <vertical/>
            <horizontal/>
          </border>
        </dxf>
        <dxf>
          <font>
            <sz val="10"/>
            <color rgb="FF6F4E37"/>
            <name val="Arial"/>
            <family val="2"/>
            <scheme val="none"/>
          </font>
          <fill>
            <patternFill patternType="solid">
              <fgColor theme="4" tint="0.59999389629810485"/>
              <bgColor rgb="FF333333"/>
            </patternFill>
          </fill>
          <border>
            <left/>
            <right/>
            <top style="thin">
              <color rgb="FF999999"/>
            </top>
            <bottom/>
            <vertical style="thin">
              <color rgb="FF999999"/>
            </vertical>
            <horizontal style="thin">
              <color rgb="FF999999"/>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4506668294322"/>
              <bgColor theme="0" tint="-0.34998626667073579"/>
            </patternFill>
          </fill>
          <border>
            <vertical/>
            <horizontal/>
          </border>
        </dxf>
        <dxf>
          <fill>
            <patternFill patternType="solid">
              <fgColor auto="1"/>
              <bgColor theme="6" tint="-0.24994659260841701"/>
            </patternFill>
          </fill>
          <border diagonalUp="0" diagonalDown="0">
            <left/>
            <right/>
            <top/>
            <bottom/>
            <vertical/>
            <horizontal/>
          </border>
        </dxf>
        <dxf>
          <fill>
            <patternFill patternType="solid">
              <fgColor auto="1"/>
              <bgColor rgb="FF94684A"/>
            </patternFill>
          </fill>
          <border diagonalUp="0" diagonalDown="0">
            <left/>
            <right/>
            <top/>
            <bottom/>
            <vertical/>
            <horizontal/>
          </border>
        </dxf>
        <dxf>
          <font>
            <sz val="9"/>
            <color rgb="FF6F4E37"/>
          </font>
          <border>
            <left/>
            <right/>
            <top/>
            <bottom/>
            <vertical/>
            <horizontal/>
          </border>
        </dxf>
        <dxf>
          <font>
            <sz val="9"/>
            <color rgb="FF6F4E37"/>
          </font>
          <border>
            <left/>
            <right/>
            <top/>
            <bottom/>
            <vertical/>
            <horizontal/>
          </border>
        </dxf>
        <dxf>
          <font>
            <sz val="9"/>
            <color rgb="FF6F4E37"/>
          </font>
          <border>
            <left/>
            <right/>
            <top/>
            <bottom/>
            <vertical/>
            <horizontal/>
          </border>
        </dxf>
        <dxf>
          <font>
            <sz val="10"/>
            <color rgb="FF6F4E37"/>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by Volume</a:t>
            </a:r>
            <a:endParaRPr lang="en-US"/>
          </a:p>
        </c:rich>
      </c:tx>
      <c:layout>
        <c:manualLayout>
          <c:xMode val="edge"/>
          <c:yMode val="edge"/>
          <c:x val="0.27331861825303722"/>
          <c:y val="3.3898290004764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bar3DChart>
        <c:barDir val="bar"/>
        <c:grouping val="clustered"/>
        <c:varyColors val="0"/>
        <c:ser>
          <c:idx val="0"/>
          <c:order val="0"/>
          <c:tx>
            <c:strRef>
              <c:f>'Pivot Table'!$B$10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Table'!$A$11:$A$16</c:f>
              <c:strCache>
                <c:ptCount val="5"/>
                <c:pt idx="0">
                  <c:v>Foster Constance</c:v>
                </c:pt>
                <c:pt idx="1">
                  <c:v>Derick Snow</c:v>
                </c:pt>
                <c:pt idx="2">
                  <c:v>Orazio Comber</c:v>
                </c:pt>
                <c:pt idx="3">
                  <c:v>Adrian Swaine</c:v>
                </c:pt>
                <c:pt idx="4">
                  <c:v>Nealson Cuttler</c:v>
                </c:pt>
              </c:strCache>
            </c:strRef>
          </c:cat>
          <c:val>
            <c:numRef>
              <c:f>'Pivot Table'!$B$11:$B$16</c:f>
              <c:numCache>
                <c:formatCode>General</c:formatCode>
                <c:ptCount val="5"/>
                <c:pt idx="0">
                  <c:v>9</c:v>
                </c:pt>
                <c:pt idx="1">
                  <c:v>10</c:v>
                </c:pt>
                <c:pt idx="2">
                  <c:v>11</c:v>
                </c:pt>
                <c:pt idx="3">
                  <c:v>17</c:v>
                </c:pt>
                <c:pt idx="4">
                  <c:v>18</c:v>
                </c:pt>
              </c:numCache>
            </c:numRef>
          </c:val>
          <c:extLst>
            <c:ext xmlns:c16="http://schemas.microsoft.com/office/drawing/2014/chart" uri="{C3380CC4-5D6E-409C-BE32-E72D297353CC}">
              <c16:uniqueId val="{00000000-38FE-4785-A235-3B62D4D2F0E3}"/>
            </c:ext>
          </c:extLst>
        </c:ser>
        <c:dLbls>
          <c:showLegendKey val="0"/>
          <c:showVal val="1"/>
          <c:showCatName val="0"/>
          <c:showSerName val="0"/>
          <c:showPercent val="0"/>
          <c:showBubbleSize val="0"/>
        </c:dLbls>
        <c:gapWidth val="150"/>
        <c:shape val="box"/>
        <c:axId val="1306372655"/>
        <c:axId val="1306354415"/>
        <c:axId val="0"/>
      </c:bar3DChart>
      <c:catAx>
        <c:axId val="130637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54415"/>
        <c:crosses val="autoZero"/>
        <c:auto val="1"/>
        <c:lblAlgn val="ctr"/>
        <c:lblOffset val="100"/>
        <c:noMultiLvlLbl val="0"/>
      </c:catAx>
      <c:valAx>
        <c:axId val="1306354415"/>
        <c:scaling>
          <c:orientation val="minMax"/>
        </c:scaling>
        <c:delete val="1"/>
        <c:axPos val="b"/>
        <c:numFmt formatCode="General" sourceLinked="1"/>
        <c:majorTickMark val="none"/>
        <c:minorTickMark val="none"/>
        <c:tickLblPos val="nextTo"/>
        <c:crossAx val="130637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63547759559701E-2"/>
          <c:y val="0.19848576084183783"/>
          <c:w val="0.91783380018674132"/>
          <c:h val="0.64897660718174421"/>
        </c:manualLayout>
      </c:layout>
      <c:barChart>
        <c:barDir val="col"/>
        <c:grouping val="clustered"/>
        <c:varyColors val="0"/>
        <c:ser>
          <c:idx val="0"/>
          <c:order val="0"/>
          <c:tx>
            <c:strRef>
              <c:f>'Pivot Table'!$B$28</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0.2</c:v>
                </c:pt>
                <c:pt idx="1">
                  <c:v>0.5</c:v>
                </c:pt>
                <c:pt idx="2">
                  <c:v>1</c:v>
                </c:pt>
                <c:pt idx="3">
                  <c:v>2.5</c:v>
                </c:pt>
              </c:strCache>
            </c:strRef>
          </c:cat>
          <c:val>
            <c:numRef>
              <c:f>'Pivot Table'!$B$29:$B$33</c:f>
              <c:numCache>
                <c:formatCode>"$"#,##0</c:formatCode>
                <c:ptCount val="4"/>
                <c:pt idx="0">
                  <c:v>32.558100000000017</c:v>
                </c:pt>
                <c:pt idx="1">
                  <c:v>62.507400000000018</c:v>
                </c:pt>
                <c:pt idx="2">
                  <c:v>105.06549999999999</c:v>
                </c:pt>
                <c:pt idx="3">
                  <c:v>179.6460999999999</c:v>
                </c:pt>
              </c:numCache>
            </c:numRef>
          </c:val>
          <c:extLst>
            <c:ext xmlns:c16="http://schemas.microsoft.com/office/drawing/2014/chart" uri="{C3380CC4-5D6E-409C-BE32-E72D297353CC}">
              <c16:uniqueId val="{00000000-509D-4E61-871C-5329806EB579}"/>
            </c:ext>
          </c:extLst>
        </c:ser>
        <c:dLbls>
          <c:dLblPos val="outEnd"/>
          <c:showLegendKey val="0"/>
          <c:showVal val="1"/>
          <c:showCatName val="0"/>
          <c:showSerName val="0"/>
          <c:showPercent val="0"/>
          <c:showBubbleSize val="0"/>
        </c:dLbls>
        <c:gapWidth val="219"/>
        <c:overlap val="-27"/>
        <c:axId val="38848544"/>
        <c:axId val="38850464"/>
      </c:barChart>
      <c:catAx>
        <c:axId val="3884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0464"/>
        <c:crosses val="autoZero"/>
        <c:auto val="1"/>
        <c:lblAlgn val="ctr"/>
        <c:lblOffset val="100"/>
        <c:noMultiLvlLbl val="0"/>
      </c:catAx>
      <c:valAx>
        <c:axId val="38850464"/>
        <c:scaling>
          <c:orientation val="minMax"/>
        </c:scaling>
        <c:delete val="1"/>
        <c:axPos val="l"/>
        <c:numFmt formatCode="&quot;$&quot;#,##0" sourceLinked="1"/>
        <c:majorTickMark val="none"/>
        <c:minorTickMark val="none"/>
        <c:tickLblPos val="nextTo"/>
        <c:crossAx val="3884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Monthly Profit Trend</a:t>
            </a:r>
          </a:p>
          <a:p>
            <a:pPr>
              <a:defRPr/>
            </a:pP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c:f>
              <c:strCache>
                <c:ptCount val="1"/>
                <c:pt idx="0">
                  <c:v>Total</c:v>
                </c:pt>
              </c:strCache>
            </c:strRef>
          </c:tx>
          <c:spPr>
            <a:ln w="28575" cap="rnd">
              <a:solidFill>
                <a:schemeClr val="accent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Table'!$B$37:$B$49</c:f>
              <c:numCache>
                <c:formatCode>"$"#,##0</c:formatCode>
                <c:ptCount val="12"/>
                <c:pt idx="0">
                  <c:v>28.790700000000001</c:v>
                </c:pt>
                <c:pt idx="1">
                  <c:v>27.638449999999999</c:v>
                </c:pt>
                <c:pt idx="2">
                  <c:v>42.002850000000002</c:v>
                </c:pt>
                <c:pt idx="3">
                  <c:v>28.797699999999992</c:v>
                </c:pt>
                <c:pt idx="4">
                  <c:v>27.161949999999997</c:v>
                </c:pt>
                <c:pt idx="5">
                  <c:v>22.082749999999997</c:v>
                </c:pt>
                <c:pt idx="6">
                  <c:v>19.360349999999997</c:v>
                </c:pt>
                <c:pt idx="7">
                  <c:v>28.009049999999995</c:v>
                </c:pt>
                <c:pt idx="8">
                  <c:v>38.802549999999989</c:v>
                </c:pt>
                <c:pt idx="9">
                  <c:v>43.396599999999999</c:v>
                </c:pt>
                <c:pt idx="10">
                  <c:v>42.74615</c:v>
                </c:pt>
                <c:pt idx="11">
                  <c:v>30.988</c:v>
                </c:pt>
              </c:numCache>
            </c:numRef>
          </c:val>
          <c:smooth val="0"/>
          <c:extLst>
            <c:ext xmlns:c16="http://schemas.microsoft.com/office/drawing/2014/chart" uri="{C3380CC4-5D6E-409C-BE32-E72D297353CC}">
              <c16:uniqueId val="{00000000-DCAC-43B6-8764-041B80153BC0}"/>
            </c:ext>
          </c:extLst>
        </c:ser>
        <c:dLbls>
          <c:dLblPos val="t"/>
          <c:showLegendKey val="0"/>
          <c:showVal val="1"/>
          <c:showCatName val="0"/>
          <c:showSerName val="0"/>
          <c:showPercent val="0"/>
          <c:showBubbleSize val="0"/>
        </c:dLbls>
        <c:smooth val="0"/>
        <c:axId val="38866784"/>
        <c:axId val="38873024"/>
      </c:lineChart>
      <c:catAx>
        <c:axId val="3886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3024"/>
        <c:crosses val="autoZero"/>
        <c:auto val="1"/>
        <c:lblAlgn val="ctr"/>
        <c:lblOffset val="100"/>
        <c:noMultiLvlLbl val="0"/>
      </c:catAx>
      <c:valAx>
        <c:axId val="38873024"/>
        <c:scaling>
          <c:orientation val="minMax"/>
        </c:scaling>
        <c:delete val="1"/>
        <c:axPos val="l"/>
        <c:numFmt formatCode="&quot;$&quot;#,##0" sourceLinked="1"/>
        <c:majorTickMark val="none"/>
        <c:minorTickMark val="none"/>
        <c:tickLblPos val="nextTo"/>
        <c:crossAx val="3886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Country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sp3d/>
        </c:spPr>
        <c:dLbl>
          <c:idx val="0"/>
          <c:layout>
            <c:manualLayout>
              <c:x val="4.1666652996504728E-3"/>
              <c:y val="-0.13333333333333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p3d/>
        </c:spPr>
        <c:dLbl>
          <c:idx val="0"/>
          <c:layout>
            <c:manualLayout>
              <c:x val="1.6666661198601967E-2"/>
              <c:y val="-0.2453333333333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sp3d/>
        </c:spPr>
        <c:dLbl>
          <c:idx val="0"/>
          <c:layout>
            <c:manualLayout>
              <c:x val="1.2499995898951401E-2"/>
              <c:y val="-0.2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Table'!$B$20</c:f>
              <c:strCache>
                <c:ptCount val="1"/>
                <c:pt idx="0">
                  <c:v>Total</c:v>
                </c:pt>
              </c:strCache>
            </c:strRef>
          </c:tx>
          <c:spPr>
            <a:solidFill>
              <a:schemeClr val="accent2">
                <a:lumMod val="50000"/>
              </a:schemeClr>
            </a:solidFill>
            <a:ln>
              <a:noFill/>
            </a:ln>
            <a:effectLst/>
            <a:sp3d/>
          </c:spPr>
          <c:invertIfNegative val="0"/>
          <c:dPt>
            <c:idx val="0"/>
            <c:invertIfNegative val="0"/>
            <c:bubble3D val="0"/>
            <c:extLst>
              <c:ext xmlns:c16="http://schemas.microsoft.com/office/drawing/2014/chart" uri="{C3380CC4-5D6E-409C-BE32-E72D297353CC}">
                <c16:uniqueId val="{00000002-4BF4-424E-ACDA-6FED4ECEE523}"/>
              </c:ext>
            </c:extLst>
          </c:dPt>
          <c:dPt>
            <c:idx val="1"/>
            <c:invertIfNegative val="0"/>
            <c:bubble3D val="0"/>
            <c:extLst>
              <c:ext xmlns:c16="http://schemas.microsoft.com/office/drawing/2014/chart" uri="{C3380CC4-5D6E-409C-BE32-E72D297353CC}">
                <c16:uniqueId val="{00000003-4BF4-424E-ACDA-6FED4ECEE523}"/>
              </c:ext>
            </c:extLst>
          </c:dPt>
          <c:dPt>
            <c:idx val="2"/>
            <c:invertIfNegative val="0"/>
            <c:bubble3D val="0"/>
            <c:extLst>
              <c:ext xmlns:c16="http://schemas.microsoft.com/office/drawing/2014/chart" uri="{C3380CC4-5D6E-409C-BE32-E72D297353CC}">
                <c16:uniqueId val="{00000004-4BF4-424E-ACDA-6FED4ECEE523}"/>
              </c:ext>
            </c:extLst>
          </c:dPt>
          <c:dLbls>
            <c:dLbl>
              <c:idx val="0"/>
              <c:layout>
                <c:manualLayout>
                  <c:x val="4.1666652996504728E-3"/>
                  <c:y val="-0.133333333333333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F4-424E-ACDA-6FED4ECEE523}"/>
                </c:ext>
              </c:extLst>
            </c:dLbl>
            <c:dLbl>
              <c:idx val="1"/>
              <c:layout>
                <c:manualLayout>
                  <c:x val="1.6666661198601967E-2"/>
                  <c:y val="-0.24533333333333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F4-424E-ACDA-6FED4ECEE523}"/>
                </c:ext>
              </c:extLst>
            </c:dLbl>
            <c:dLbl>
              <c:idx val="2"/>
              <c:layout>
                <c:manualLayout>
                  <c:x val="1.2499995898951401E-2"/>
                  <c:y val="-0.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F4-424E-ACDA-6FED4ECEE5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2">
                          <a:lumMod val="50000"/>
                        </a:schemeClr>
                      </a:solidFill>
                      <a:round/>
                    </a:ln>
                    <a:effectLst/>
                  </c:spPr>
                </c15:leaderLines>
              </c:ext>
            </c:extLst>
          </c:dLbls>
          <c:cat>
            <c:strRef>
              <c:f>'Pivot Table'!$A$21:$A$24</c:f>
              <c:strCache>
                <c:ptCount val="3"/>
                <c:pt idx="0">
                  <c:v>United State</c:v>
                </c:pt>
                <c:pt idx="1">
                  <c:v>Ireland</c:v>
                </c:pt>
                <c:pt idx="2">
                  <c:v>United Kingdom</c:v>
                </c:pt>
              </c:strCache>
            </c:strRef>
          </c:cat>
          <c:val>
            <c:numRef>
              <c:f>'Pivot Table'!$B$21:$B$24</c:f>
              <c:numCache>
                <c:formatCode>"$"#,##0</c:formatCode>
                <c:ptCount val="3"/>
                <c:pt idx="0">
                  <c:v>11090.61</c:v>
                </c:pt>
                <c:pt idx="1">
                  <c:v>2032.4549999999995</c:v>
                </c:pt>
                <c:pt idx="2">
                  <c:v>643.04499999999996</c:v>
                </c:pt>
              </c:numCache>
            </c:numRef>
          </c:val>
          <c:extLst>
            <c:ext xmlns:c16="http://schemas.microsoft.com/office/drawing/2014/chart" uri="{C3380CC4-5D6E-409C-BE32-E72D297353CC}">
              <c16:uniqueId val="{00000000-4BF4-424E-ACDA-6FED4ECEE523}"/>
            </c:ext>
          </c:extLst>
        </c:ser>
        <c:dLbls>
          <c:showLegendKey val="0"/>
          <c:showVal val="1"/>
          <c:showCatName val="0"/>
          <c:showSerName val="0"/>
          <c:showPercent val="0"/>
          <c:showBubbleSize val="0"/>
        </c:dLbls>
        <c:gapWidth val="150"/>
        <c:shape val="box"/>
        <c:axId val="698219631"/>
        <c:axId val="698213871"/>
        <c:axId val="0"/>
      </c:bar3DChart>
      <c:catAx>
        <c:axId val="69821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13871"/>
        <c:crosses val="autoZero"/>
        <c:auto val="1"/>
        <c:lblAlgn val="ctr"/>
        <c:lblOffset val="100"/>
        <c:noMultiLvlLbl val="0"/>
      </c:catAx>
      <c:valAx>
        <c:axId val="698213871"/>
        <c:scaling>
          <c:orientation val="minMax"/>
        </c:scaling>
        <c:delete val="1"/>
        <c:axPos val="l"/>
        <c:numFmt formatCode="&quot;$&quot;#,##0" sourceLinked="1"/>
        <c:majorTickMark val="none"/>
        <c:minorTickMark val="none"/>
        <c:tickLblPos val="nextTo"/>
        <c:crossAx val="69821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 Price Trend</a:t>
            </a:r>
          </a:p>
        </c:rich>
      </c:tx>
      <c:layout>
        <c:manualLayout>
          <c:xMode val="edge"/>
          <c:yMode val="edge"/>
          <c:x val="0.35134711286089237"/>
          <c:y val="8.333333333333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4A373"/>
          </a:solidFill>
          <a:ln w="19050">
            <a:solidFill>
              <a:schemeClr val="lt1"/>
            </a:solidFill>
          </a:ln>
          <a:effectLst/>
        </c:spPr>
        <c:dLbl>
          <c:idx val="0"/>
          <c:layout>
            <c:manualLayout>
              <c:x val="0.15555555555555545"/>
              <c:y val="-0.1250000000000000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E8FE02-4F38-4A0F-A3F6-151BA9B330B5}" type="VALUE">
                  <a:rPr lang="en-US"/>
                  <a:pPr>
                    <a:defRPr/>
                  </a:pPr>
                  <a:t>[VALUE]</a:t>
                </a:fld>
                <a:endParaRPr lang="en-US" baseline="0"/>
              </a:p>
              <a:p>
                <a:pPr>
                  <a:defRPr/>
                </a:pPr>
                <a:r>
                  <a:rPr lang="en-US" baseline="0"/>
                  <a:t> </a:t>
                </a:r>
                <a:fld id="{EF3DCCEB-B584-41C9-A933-9C88006749D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B08968"/>
          </a:solidFill>
          <a:ln w="19050">
            <a:solidFill>
              <a:schemeClr val="lt1"/>
            </a:solidFill>
          </a:ln>
          <a:effectLst/>
        </c:spPr>
        <c:dLbl>
          <c:idx val="0"/>
          <c:layout>
            <c:manualLayout>
              <c:x val="-3.3333333333333284E-2"/>
              <c:y val="-0.166666666666666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D54137-494D-49E2-99AA-3B816333A51C}" type="VALUE">
                  <a:rPr lang="en-US"/>
                  <a:pPr>
                    <a:defRPr/>
                  </a:pPr>
                  <a:t>[VALUE]</a:t>
                </a:fld>
                <a:endParaRPr lang="en-US" baseline="0"/>
              </a:p>
              <a:p>
                <a:pPr>
                  <a:defRPr/>
                </a:pPr>
                <a:r>
                  <a:rPr lang="en-US" baseline="0"/>
                  <a:t> </a:t>
                </a:r>
                <a:fld id="{D9E2F8F3-32C0-40AF-8FA9-298EB4CA338D}"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6F4E37"/>
          </a:solidFill>
          <a:ln w="19050">
            <a:solidFill>
              <a:schemeClr val="lt1"/>
            </a:solidFill>
          </a:ln>
          <a:effectLst/>
        </c:spPr>
        <c:dLbl>
          <c:idx val="0"/>
          <c:layout>
            <c:manualLayout>
              <c:x val="-6.3888888888888912E-2"/>
              <c:y val="-0.125000000000000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9F1283-D404-4176-A547-6D5A1739CEED}" type="VALUE">
                  <a:rPr lang="en-US"/>
                  <a:pPr>
                    <a:defRPr/>
                  </a:pPr>
                  <a:t>[VALUE]</a:t>
                </a:fld>
                <a:r>
                  <a:rPr lang="en-US" baseline="0"/>
                  <a:t> </a:t>
                </a:r>
              </a:p>
              <a:p>
                <a:pPr>
                  <a:defRPr/>
                </a:pPr>
                <a:fld id="{B955C52B-63F6-4985-9B91-FE03C40E1DF0}"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9.8027777777777783E-2"/>
                  <c:h val="0.11560185185185186"/>
                </c:manualLayout>
              </c15:layout>
              <c15:dlblFieldTable/>
              <c15:showDataLabelsRange val="0"/>
            </c:ext>
          </c:extLst>
        </c:dLbl>
      </c:pivotFmt>
      <c:pivotFmt>
        <c:idx val="4"/>
        <c:spPr>
          <a:solidFill>
            <a:schemeClr val="accent1"/>
          </a:solidFill>
          <a:ln w="19050">
            <a:solidFill>
              <a:schemeClr val="lt1"/>
            </a:solidFill>
          </a:ln>
          <a:effectLst/>
        </c:spPr>
        <c:dLbl>
          <c:idx val="0"/>
          <c:layout>
            <c:manualLayout>
              <c:x val="-0.10833333333333336"/>
              <c:y val="0.13888888888888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BB8FB3-FCC5-4223-AECC-5C3E40FC7846}" type="VALUE">
                  <a:rPr lang="en-US"/>
                  <a:pPr>
                    <a:defRPr/>
                  </a:pPr>
                  <a:t>[VALUE]</a:t>
                </a:fld>
                <a:endParaRPr lang="en-US" baseline="0"/>
              </a:p>
              <a:p>
                <a:pPr>
                  <a:defRPr/>
                </a:pPr>
                <a:r>
                  <a:rPr lang="en-US" baseline="0"/>
                  <a:t> </a:t>
                </a:r>
                <a:fld id="{EA12DC67-F8C0-4F60-8416-A14A54CAFA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Table'!$B$51</c:f>
              <c:strCache>
                <c:ptCount val="1"/>
                <c:pt idx="0">
                  <c:v>Total</c:v>
                </c:pt>
              </c:strCache>
            </c:strRef>
          </c:tx>
          <c:dPt>
            <c:idx val="0"/>
            <c:bubble3D val="0"/>
            <c:spPr>
              <a:solidFill>
                <a:srgbClr val="D4A373"/>
              </a:solidFill>
              <a:ln w="19050">
                <a:solidFill>
                  <a:schemeClr val="lt1"/>
                </a:solidFill>
              </a:ln>
              <a:effectLst/>
            </c:spPr>
            <c:extLst>
              <c:ext xmlns:c16="http://schemas.microsoft.com/office/drawing/2014/chart" uri="{C3380CC4-5D6E-409C-BE32-E72D297353CC}">
                <c16:uniqueId val="{00000002-59A7-4FB5-AD61-B72D45F735B6}"/>
              </c:ext>
            </c:extLst>
          </c:dPt>
          <c:dPt>
            <c:idx val="1"/>
            <c:bubble3D val="0"/>
            <c:spPr>
              <a:solidFill>
                <a:srgbClr val="B08968"/>
              </a:solidFill>
              <a:ln w="19050">
                <a:solidFill>
                  <a:schemeClr val="lt1"/>
                </a:solidFill>
              </a:ln>
              <a:effectLst/>
            </c:spPr>
            <c:extLst>
              <c:ext xmlns:c16="http://schemas.microsoft.com/office/drawing/2014/chart" uri="{C3380CC4-5D6E-409C-BE32-E72D297353CC}">
                <c16:uniqueId val="{00000003-59A7-4FB5-AD61-B72D45F735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A7-4FB5-AD61-B72D45F735B6}"/>
              </c:ext>
            </c:extLst>
          </c:dPt>
          <c:dPt>
            <c:idx val="3"/>
            <c:bubble3D val="0"/>
            <c:spPr>
              <a:solidFill>
                <a:srgbClr val="6F4E37"/>
              </a:solidFill>
              <a:ln w="19050">
                <a:solidFill>
                  <a:schemeClr val="lt1"/>
                </a:solidFill>
              </a:ln>
              <a:effectLst/>
            </c:spPr>
            <c:extLst>
              <c:ext xmlns:c16="http://schemas.microsoft.com/office/drawing/2014/chart" uri="{C3380CC4-5D6E-409C-BE32-E72D297353CC}">
                <c16:uniqueId val="{00000004-59A7-4FB5-AD61-B72D45F735B6}"/>
              </c:ext>
            </c:extLst>
          </c:dPt>
          <c:dLbls>
            <c:dLbl>
              <c:idx val="0"/>
              <c:layout>
                <c:manualLayout>
                  <c:x val="0.15555555555555545"/>
                  <c:y val="-0.12500000000000006"/>
                </c:manualLayout>
              </c:layout>
              <c:tx>
                <c:rich>
                  <a:bodyPr/>
                  <a:lstStyle/>
                  <a:p>
                    <a:fld id="{A2E8FE02-4F38-4A0F-A3F6-151BA9B330B5}" type="VALUE">
                      <a:rPr lang="en-US"/>
                      <a:pPr/>
                      <a:t>[VALUE]</a:t>
                    </a:fld>
                    <a:endParaRPr lang="en-US" baseline="0"/>
                  </a:p>
                  <a:p>
                    <a:r>
                      <a:rPr lang="en-US" baseline="0"/>
                      <a:t> </a:t>
                    </a:r>
                    <a:fld id="{EF3DCCEB-B584-41C9-A933-9C88006749D6}"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9A7-4FB5-AD61-B72D45F735B6}"/>
                </c:ext>
              </c:extLst>
            </c:dLbl>
            <c:dLbl>
              <c:idx val="1"/>
              <c:layout>
                <c:manualLayout>
                  <c:x val="-3.3333333333333284E-2"/>
                  <c:y val="-0.16666666666666674"/>
                </c:manualLayout>
              </c:layout>
              <c:tx>
                <c:rich>
                  <a:bodyPr/>
                  <a:lstStyle/>
                  <a:p>
                    <a:fld id="{7CD54137-494D-49E2-99AA-3B816333A51C}" type="VALUE">
                      <a:rPr lang="en-US"/>
                      <a:pPr/>
                      <a:t>[VALUE]</a:t>
                    </a:fld>
                    <a:endParaRPr lang="en-US" baseline="0"/>
                  </a:p>
                  <a:p>
                    <a:r>
                      <a:rPr lang="en-US" baseline="0"/>
                      <a:t> </a:t>
                    </a:r>
                    <a:fld id="{D9E2F8F3-32C0-40AF-8FA9-298EB4CA338D}"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9A7-4FB5-AD61-B72D45F735B6}"/>
                </c:ext>
              </c:extLst>
            </c:dLbl>
            <c:dLbl>
              <c:idx val="2"/>
              <c:layout>
                <c:manualLayout>
                  <c:x val="-0.10833333333333336"/>
                  <c:y val="0.1388888888888889"/>
                </c:manualLayout>
              </c:layout>
              <c:tx>
                <c:rich>
                  <a:bodyPr/>
                  <a:lstStyle/>
                  <a:p>
                    <a:fld id="{83BB8FB3-FCC5-4223-AECC-5C3E40FC7846}" type="VALUE">
                      <a:rPr lang="en-US"/>
                      <a:pPr/>
                      <a:t>[VALUE]</a:t>
                    </a:fld>
                    <a:endParaRPr lang="en-US" baseline="0"/>
                  </a:p>
                  <a:p>
                    <a:r>
                      <a:rPr lang="en-US" baseline="0"/>
                      <a:t> </a:t>
                    </a:r>
                    <a:fld id="{EA12DC67-F8C0-4F60-8416-A14A54CAFA1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9A7-4FB5-AD61-B72D45F735B6}"/>
                </c:ext>
              </c:extLst>
            </c:dLbl>
            <c:dLbl>
              <c:idx val="3"/>
              <c:layout>
                <c:manualLayout>
                  <c:x val="-6.3888888888888912E-2"/>
                  <c:y val="-0.12500000000000003"/>
                </c:manualLayout>
              </c:layout>
              <c:tx>
                <c:rich>
                  <a:bodyPr/>
                  <a:lstStyle/>
                  <a:p>
                    <a:fld id="{839F1283-D404-4176-A547-6D5A1739CEED}" type="VALUE">
                      <a:rPr lang="en-US"/>
                      <a:pPr/>
                      <a:t>[VALUE]</a:t>
                    </a:fld>
                    <a:r>
                      <a:rPr lang="en-US" baseline="0"/>
                      <a:t> </a:t>
                    </a:r>
                  </a:p>
                  <a:p>
                    <a:fld id="{B955C52B-63F6-4985-9B91-FE03C40E1DF0}"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manualLayout>
                      <c:w val="9.8027777777777783E-2"/>
                      <c:h val="0.11560185185185186"/>
                    </c:manualLayout>
                  </c15:layout>
                  <c15:dlblFieldTable/>
                  <c15:showDataLabelsRange val="0"/>
                </c:ext>
                <c:ext xmlns:c16="http://schemas.microsoft.com/office/drawing/2014/chart" uri="{C3380CC4-5D6E-409C-BE32-E72D297353CC}">
                  <c16:uniqueId val="{00000004-59A7-4FB5-AD61-B72D45F735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rgbClr val="6F4E37"/>
                  </a:solidFill>
                  <a:round/>
                </a:ln>
                <a:effectLst/>
              </c:spPr>
            </c:leaderLines>
            <c:extLst>
              <c:ext xmlns:c15="http://schemas.microsoft.com/office/drawing/2012/chart" uri="{CE6537A1-D6FC-4f65-9D91-7224C49458BB}"/>
            </c:extLst>
          </c:dLbls>
          <c:cat>
            <c:strRef>
              <c:f>'Pivot Table'!$A$52:$A$56</c:f>
              <c:strCache>
                <c:ptCount val="4"/>
                <c:pt idx="0">
                  <c:v>Qtr1</c:v>
                </c:pt>
                <c:pt idx="1">
                  <c:v>Qtr2</c:v>
                </c:pt>
                <c:pt idx="2">
                  <c:v>Qtr3</c:v>
                </c:pt>
                <c:pt idx="3">
                  <c:v>Qtr4</c:v>
                </c:pt>
              </c:strCache>
            </c:strRef>
          </c:cat>
          <c:val>
            <c:numRef>
              <c:f>'Pivot Table'!$B$52:$B$56</c:f>
              <c:numCache>
                <c:formatCode>"$"#,##0</c:formatCode>
                <c:ptCount val="4"/>
                <c:pt idx="0">
                  <c:v>942.1049999999999</c:v>
                </c:pt>
                <c:pt idx="1">
                  <c:v>767.8</c:v>
                </c:pt>
                <c:pt idx="2">
                  <c:v>928.70499999999993</c:v>
                </c:pt>
                <c:pt idx="3">
                  <c:v>1107.2350000000001</c:v>
                </c:pt>
              </c:numCache>
            </c:numRef>
          </c:val>
          <c:extLst>
            <c:ext xmlns:c16="http://schemas.microsoft.com/office/drawing/2014/chart" uri="{C3380CC4-5D6E-409C-BE32-E72D297353CC}">
              <c16:uniqueId val="{00000000-59A7-4FB5-AD61-B72D45F735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Table!PivotTable3</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6F4E37"/>
                </a:solidFill>
                <a:latin typeface="Arial" panose="020B0604020202020204" pitchFamily="34" charset="0"/>
                <a:cs typeface="Arial" panose="020B0604020202020204" pitchFamily="34" charset="0"/>
              </a:rPr>
              <a:t>Top</a:t>
            </a:r>
            <a:r>
              <a:rPr lang="en-US" sz="1200" baseline="0">
                <a:solidFill>
                  <a:srgbClr val="6F4E37"/>
                </a:solidFill>
                <a:latin typeface="Arial" panose="020B0604020202020204" pitchFamily="34" charset="0"/>
                <a:cs typeface="Arial" panose="020B0604020202020204" pitchFamily="34" charset="0"/>
              </a:rPr>
              <a:t> 5 Customers by Quantity</a:t>
            </a:r>
            <a:endParaRPr lang="en-US" sz="1200">
              <a:solidFill>
                <a:srgbClr val="6F4E37"/>
              </a:solidFill>
              <a:latin typeface="Arial" panose="020B0604020202020204" pitchFamily="34" charset="0"/>
              <a:cs typeface="Arial" panose="020B0604020202020204" pitchFamily="34" charset="0"/>
            </a:endParaRPr>
          </a:p>
        </c:rich>
      </c:tx>
      <c:layout>
        <c:manualLayout>
          <c:xMode val="edge"/>
          <c:yMode val="edge"/>
          <c:x val="0.29817330992836094"/>
          <c:y val="0.10898773544828091"/>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F4E3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manualLayout>
          <c:layoutTarget val="inner"/>
          <c:xMode val="edge"/>
          <c:yMode val="edge"/>
          <c:x val="0.35244043826305094"/>
          <c:y val="0.15912904866609795"/>
          <c:w val="0.60954479776778392"/>
          <c:h val="0.77255057453310438"/>
        </c:manualLayout>
      </c:layout>
      <c:bar3DChart>
        <c:barDir val="bar"/>
        <c:grouping val="clustered"/>
        <c:varyColors val="0"/>
        <c:ser>
          <c:idx val="0"/>
          <c:order val="0"/>
          <c:tx>
            <c:strRef>
              <c:f>'Pivot Table'!$B$10</c:f>
              <c:strCache>
                <c:ptCount val="1"/>
                <c:pt idx="0">
                  <c:v>Total</c:v>
                </c:pt>
              </c:strCache>
            </c:strRef>
          </c:tx>
          <c:spPr>
            <a:solidFill>
              <a:srgbClr val="6F4E37"/>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Table'!$A$11:$A$16</c:f>
              <c:strCache>
                <c:ptCount val="5"/>
                <c:pt idx="0">
                  <c:v>Foster Constance</c:v>
                </c:pt>
                <c:pt idx="1">
                  <c:v>Derick Snow</c:v>
                </c:pt>
                <c:pt idx="2">
                  <c:v>Orazio Comber</c:v>
                </c:pt>
                <c:pt idx="3">
                  <c:v>Adrian Swaine</c:v>
                </c:pt>
                <c:pt idx="4">
                  <c:v>Nealson Cuttler</c:v>
                </c:pt>
              </c:strCache>
            </c:strRef>
          </c:cat>
          <c:val>
            <c:numRef>
              <c:f>'Pivot Table'!$B$11:$B$16</c:f>
              <c:numCache>
                <c:formatCode>General</c:formatCode>
                <c:ptCount val="5"/>
                <c:pt idx="0">
                  <c:v>9</c:v>
                </c:pt>
                <c:pt idx="1">
                  <c:v>10</c:v>
                </c:pt>
                <c:pt idx="2">
                  <c:v>11</c:v>
                </c:pt>
                <c:pt idx="3">
                  <c:v>17</c:v>
                </c:pt>
                <c:pt idx="4">
                  <c:v>18</c:v>
                </c:pt>
              </c:numCache>
            </c:numRef>
          </c:val>
          <c:extLst>
            <c:ext xmlns:c16="http://schemas.microsoft.com/office/drawing/2014/chart" uri="{C3380CC4-5D6E-409C-BE32-E72D297353CC}">
              <c16:uniqueId val="{00000000-E970-4795-8383-86E0DF222957}"/>
            </c:ext>
          </c:extLst>
        </c:ser>
        <c:dLbls>
          <c:showLegendKey val="0"/>
          <c:showVal val="1"/>
          <c:showCatName val="0"/>
          <c:showSerName val="0"/>
          <c:showPercent val="0"/>
          <c:showBubbleSize val="0"/>
        </c:dLbls>
        <c:gapWidth val="150"/>
        <c:shape val="box"/>
        <c:axId val="1306372655"/>
        <c:axId val="1306354415"/>
        <c:axId val="0"/>
      </c:bar3DChart>
      <c:catAx>
        <c:axId val="130637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6F4E37"/>
                </a:solidFill>
                <a:latin typeface="Arial" panose="020B0604020202020204" pitchFamily="34" charset="0"/>
                <a:ea typeface="+mn-ea"/>
                <a:cs typeface="Arial" panose="020B0604020202020204" pitchFamily="34" charset="0"/>
              </a:defRPr>
            </a:pPr>
            <a:endParaRPr lang="en-US"/>
          </a:p>
        </c:txPr>
        <c:crossAx val="1306354415"/>
        <c:crosses val="autoZero"/>
        <c:auto val="1"/>
        <c:lblAlgn val="ctr"/>
        <c:lblOffset val="100"/>
        <c:noMultiLvlLbl val="0"/>
      </c:catAx>
      <c:valAx>
        <c:axId val="1306354415"/>
        <c:scaling>
          <c:orientation val="minMax"/>
        </c:scaling>
        <c:delete val="1"/>
        <c:axPos val="b"/>
        <c:numFmt formatCode="General" sourceLinked="1"/>
        <c:majorTickMark val="none"/>
        <c:minorTickMark val="none"/>
        <c:tickLblPos val="nextTo"/>
        <c:crossAx val="130637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Table!PivotTable1</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6F4E37"/>
                </a:solidFill>
                <a:latin typeface="Arial" panose="020B0604020202020204" pitchFamily="34" charset="0"/>
                <a:cs typeface="Arial" panose="020B0604020202020204" pitchFamily="34" charset="0"/>
              </a:rPr>
              <a:t>Country Sales</a:t>
            </a:r>
          </a:p>
        </c:rich>
      </c:tx>
      <c:layout>
        <c:manualLayout>
          <c:xMode val="edge"/>
          <c:yMode val="edge"/>
          <c:x val="0.3869509865905334"/>
          <c:y val="4.809276011771762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sp3d/>
        </c:spPr>
        <c:dLbl>
          <c:idx val="0"/>
          <c:layout>
            <c:manualLayout>
              <c:x val="4.1666652996504728E-3"/>
              <c:y val="-0.13333333333333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p3d/>
        </c:spPr>
        <c:dLbl>
          <c:idx val="0"/>
          <c:layout>
            <c:manualLayout>
              <c:x val="1.6666661198601967E-2"/>
              <c:y val="-0.2453333333333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sp3d/>
        </c:spPr>
        <c:dLbl>
          <c:idx val="0"/>
          <c:layout>
            <c:manualLayout>
              <c:x val="1.2499995898951401E-2"/>
              <c:y val="-0.2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sp3d/>
        </c:spPr>
        <c:dLbl>
          <c:idx val="0"/>
          <c:layout>
            <c:manualLayout>
              <c:x val="4.1666652996504728E-3"/>
              <c:y val="-0.13333333333333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sp3d/>
        </c:spPr>
        <c:dLbl>
          <c:idx val="0"/>
          <c:layout>
            <c:manualLayout>
              <c:x val="1.6666661198601967E-2"/>
              <c:y val="-0.2453333333333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sp3d/>
        </c:spPr>
        <c:dLbl>
          <c:idx val="0"/>
          <c:layout>
            <c:manualLayout>
              <c:x val="1.2499995898951401E-2"/>
              <c:y val="-0.2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F4E3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F4E37"/>
          </a:solidFill>
          <a:ln>
            <a:noFill/>
          </a:ln>
          <a:effectLst/>
          <a:sp3d/>
        </c:spPr>
        <c:dLbl>
          <c:idx val="0"/>
          <c:layout>
            <c:manualLayout>
              <c:x val="4.1665175547770808E-3"/>
              <c:y val="-9.176795467097591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F4E37"/>
          </a:solidFill>
          <a:ln>
            <a:noFill/>
          </a:ln>
          <a:effectLst/>
          <a:sp3d/>
        </c:spPr>
        <c:dLbl>
          <c:idx val="0"/>
          <c:layout>
            <c:manualLayout>
              <c:x val="1.6666661198601967E-2"/>
              <c:y val="-0.2453333333333333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F4E37"/>
          </a:solidFill>
          <a:ln>
            <a:noFill/>
          </a:ln>
          <a:effectLst/>
          <a:sp3d/>
        </c:spPr>
        <c:dLbl>
          <c:idx val="0"/>
          <c:layout>
            <c:manualLayout>
              <c:x val="1.2499995898951401E-2"/>
              <c:y val="-0.22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65630808073916E-2"/>
          <c:y val="0.17996158353525088"/>
          <c:w val="0.90906670676323686"/>
          <c:h val="0.65594151212842622"/>
        </c:manualLayout>
      </c:layout>
      <c:bar3DChart>
        <c:barDir val="col"/>
        <c:grouping val="clustered"/>
        <c:varyColors val="0"/>
        <c:ser>
          <c:idx val="0"/>
          <c:order val="0"/>
          <c:tx>
            <c:strRef>
              <c:f>'Pivot Table'!$B$20</c:f>
              <c:strCache>
                <c:ptCount val="1"/>
                <c:pt idx="0">
                  <c:v>Total</c:v>
                </c:pt>
              </c:strCache>
            </c:strRef>
          </c:tx>
          <c:spPr>
            <a:solidFill>
              <a:srgbClr val="6F4E37"/>
            </a:solidFill>
            <a:ln>
              <a:noFill/>
            </a:ln>
            <a:effectLst/>
            <a:sp3d/>
          </c:spPr>
          <c:invertIfNegative val="0"/>
          <c:dPt>
            <c:idx val="0"/>
            <c:invertIfNegative val="0"/>
            <c:bubble3D val="0"/>
            <c:extLst>
              <c:ext xmlns:c16="http://schemas.microsoft.com/office/drawing/2014/chart" uri="{C3380CC4-5D6E-409C-BE32-E72D297353CC}">
                <c16:uniqueId val="{00000000-F852-4F73-B17E-2868FC2A7EC9}"/>
              </c:ext>
            </c:extLst>
          </c:dPt>
          <c:dPt>
            <c:idx val="1"/>
            <c:invertIfNegative val="0"/>
            <c:bubble3D val="0"/>
            <c:extLst>
              <c:ext xmlns:c16="http://schemas.microsoft.com/office/drawing/2014/chart" uri="{C3380CC4-5D6E-409C-BE32-E72D297353CC}">
                <c16:uniqueId val="{00000001-F852-4F73-B17E-2868FC2A7EC9}"/>
              </c:ext>
            </c:extLst>
          </c:dPt>
          <c:dPt>
            <c:idx val="2"/>
            <c:invertIfNegative val="0"/>
            <c:bubble3D val="0"/>
            <c:extLst>
              <c:ext xmlns:c16="http://schemas.microsoft.com/office/drawing/2014/chart" uri="{C3380CC4-5D6E-409C-BE32-E72D297353CC}">
                <c16:uniqueId val="{00000002-F852-4F73-B17E-2868FC2A7EC9}"/>
              </c:ext>
            </c:extLst>
          </c:dPt>
          <c:dLbls>
            <c:dLbl>
              <c:idx val="0"/>
              <c:layout>
                <c:manualLayout>
                  <c:x val="4.1665175547770808E-3"/>
                  <c:y val="-9.1767954670975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52-4F73-B17E-2868FC2A7EC9}"/>
                </c:ext>
              </c:extLst>
            </c:dLbl>
            <c:dLbl>
              <c:idx val="1"/>
              <c:layout>
                <c:manualLayout>
                  <c:x val="1.6666661198601967E-2"/>
                  <c:y val="-0.24533333333333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52-4F73-B17E-2868FC2A7EC9}"/>
                </c:ext>
              </c:extLst>
            </c:dLbl>
            <c:dLbl>
              <c:idx val="2"/>
              <c:layout>
                <c:manualLayout>
                  <c:x val="1.2499995898951401E-2"/>
                  <c:y val="-0.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52-4F73-B17E-2868FC2A7EC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F4E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2">
                          <a:lumMod val="50000"/>
                        </a:schemeClr>
                      </a:solidFill>
                      <a:round/>
                    </a:ln>
                    <a:effectLst/>
                  </c:spPr>
                </c15:leaderLines>
              </c:ext>
            </c:extLst>
          </c:dLbls>
          <c:cat>
            <c:strRef>
              <c:f>'Pivot Table'!$A$21:$A$24</c:f>
              <c:strCache>
                <c:ptCount val="3"/>
                <c:pt idx="0">
                  <c:v>United State</c:v>
                </c:pt>
                <c:pt idx="1">
                  <c:v>Ireland</c:v>
                </c:pt>
                <c:pt idx="2">
                  <c:v>United Kingdom</c:v>
                </c:pt>
              </c:strCache>
            </c:strRef>
          </c:cat>
          <c:val>
            <c:numRef>
              <c:f>'Pivot Table'!$B$21:$B$24</c:f>
              <c:numCache>
                <c:formatCode>"$"#,##0</c:formatCode>
                <c:ptCount val="3"/>
                <c:pt idx="0">
                  <c:v>11090.61</c:v>
                </c:pt>
                <c:pt idx="1">
                  <c:v>2032.4549999999995</c:v>
                </c:pt>
                <c:pt idx="2">
                  <c:v>643.04499999999996</c:v>
                </c:pt>
              </c:numCache>
            </c:numRef>
          </c:val>
          <c:extLst>
            <c:ext xmlns:c16="http://schemas.microsoft.com/office/drawing/2014/chart" uri="{C3380CC4-5D6E-409C-BE32-E72D297353CC}">
              <c16:uniqueId val="{00000003-F852-4F73-B17E-2868FC2A7EC9}"/>
            </c:ext>
          </c:extLst>
        </c:ser>
        <c:dLbls>
          <c:showLegendKey val="0"/>
          <c:showVal val="1"/>
          <c:showCatName val="0"/>
          <c:showSerName val="0"/>
          <c:showPercent val="0"/>
          <c:showBubbleSize val="0"/>
        </c:dLbls>
        <c:gapWidth val="150"/>
        <c:shape val="box"/>
        <c:axId val="698219631"/>
        <c:axId val="698213871"/>
        <c:axId val="0"/>
      </c:bar3DChart>
      <c:catAx>
        <c:axId val="69821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6F4E37"/>
                </a:solidFill>
                <a:latin typeface="Arial" panose="020B0604020202020204" pitchFamily="34" charset="0"/>
                <a:ea typeface="+mn-ea"/>
                <a:cs typeface="Arial" panose="020B0604020202020204" pitchFamily="34" charset="0"/>
              </a:defRPr>
            </a:pPr>
            <a:endParaRPr lang="en-US"/>
          </a:p>
        </c:txPr>
        <c:crossAx val="698213871"/>
        <c:crosses val="autoZero"/>
        <c:auto val="1"/>
        <c:lblAlgn val="ctr"/>
        <c:lblOffset val="100"/>
        <c:noMultiLvlLbl val="0"/>
      </c:catAx>
      <c:valAx>
        <c:axId val="698213871"/>
        <c:scaling>
          <c:orientation val="minMax"/>
        </c:scaling>
        <c:delete val="1"/>
        <c:axPos val="l"/>
        <c:numFmt formatCode="&quot;$&quot;#,##0" sourceLinked="1"/>
        <c:majorTickMark val="none"/>
        <c:minorTickMark val="none"/>
        <c:tickLblPos val="nextTo"/>
        <c:crossAx val="69821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Table!PivotTable6</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solidFill>
                  <a:srgbClr val="6F4E37"/>
                </a:solidFill>
                <a:latin typeface="Arial" panose="020B0604020202020204" pitchFamily="34" charset="0"/>
                <a:cs typeface="Arial" panose="020B0604020202020204" pitchFamily="34" charset="0"/>
              </a:rPr>
              <a:t>Monthly Profit Trend</a:t>
            </a:r>
          </a:p>
          <a:p>
            <a:pPr>
              <a:defRPr sz="1200"/>
            </a:pPr>
            <a:endParaRPr lang="en-US" sz="1200" b="0">
              <a:solidFill>
                <a:srgbClr val="6F4E37"/>
              </a:solidFill>
              <a:latin typeface="Arial" panose="020B0604020202020204" pitchFamily="34" charset="0"/>
              <a:cs typeface="Arial" panose="020B0604020202020204" pitchFamily="34" charset="0"/>
            </a:endParaRPr>
          </a:p>
        </c:rich>
      </c:tx>
      <c:layout>
        <c:manualLayout>
          <c:xMode val="edge"/>
          <c:yMode val="edge"/>
          <c:x val="0.29901961468453803"/>
          <c:y val="6.185870805409308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8808185348498E-2"/>
          <c:y val="0.22760903545078748"/>
          <c:w val="0.86620906762781613"/>
          <c:h val="0.48287128205884827"/>
        </c:manualLayout>
      </c:layout>
      <c:lineChart>
        <c:grouping val="standard"/>
        <c:varyColors val="0"/>
        <c:ser>
          <c:idx val="0"/>
          <c:order val="0"/>
          <c:tx>
            <c:strRef>
              <c:f>'Pivot Table'!$B$36</c:f>
              <c:strCache>
                <c:ptCount val="1"/>
                <c:pt idx="0">
                  <c:v>Total</c:v>
                </c:pt>
              </c:strCache>
            </c:strRef>
          </c:tx>
          <c:spPr>
            <a:ln w="28575" cap="rnd">
              <a:solidFill>
                <a:schemeClr val="accent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Table'!$B$37:$B$49</c:f>
              <c:numCache>
                <c:formatCode>"$"#,##0</c:formatCode>
                <c:ptCount val="12"/>
                <c:pt idx="0">
                  <c:v>28.790700000000001</c:v>
                </c:pt>
                <c:pt idx="1">
                  <c:v>27.638449999999999</c:v>
                </c:pt>
                <c:pt idx="2">
                  <c:v>42.002850000000002</c:v>
                </c:pt>
                <c:pt idx="3">
                  <c:v>28.797699999999992</c:v>
                </c:pt>
                <c:pt idx="4">
                  <c:v>27.161949999999997</c:v>
                </c:pt>
                <c:pt idx="5">
                  <c:v>22.082749999999997</c:v>
                </c:pt>
                <c:pt idx="6">
                  <c:v>19.360349999999997</c:v>
                </c:pt>
                <c:pt idx="7">
                  <c:v>28.009049999999995</c:v>
                </c:pt>
                <c:pt idx="8">
                  <c:v>38.802549999999989</c:v>
                </c:pt>
                <c:pt idx="9">
                  <c:v>43.396599999999999</c:v>
                </c:pt>
                <c:pt idx="10">
                  <c:v>42.74615</c:v>
                </c:pt>
                <c:pt idx="11">
                  <c:v>30.988</c:v>
                </c:pt>
              </c:numCache>
            </c:numRef>
          </c:val>
          <c:smooth val="0"/>
          <c:extLst>
            <c:ext xmlns:c16="http://schemas.microsoft.com/office/drawing/2014/chart" uri="{C3380CC4-5D6E-409C-BE32-E72D297353CC}">
              <c16:uniqueId val="{00000000-7232-41AA-AE61-072A1A6B4286}"/>
            </c:ext>
          </c:extLst>
        </c:ser>
        <c:dLbls>
          <c:dLblPos val="t"/>
          <c:showLegendKey val="0"/>
          <c:showVal val="1"/>
          <c:showCatName val="0"/>
          <c:showSerName val="0"/>
          <c:showPercent val="0"/>
          <c:showBubbleSize val="0"/>
        </c:dLbls>
        <c:smooth val="0"/>
        <c:axId val="38866784"/>
        <c:axId val="38873024"/>
      </c:lineChart>
      <c:catAx>
        <c:axId val="3886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F4E37"/>
                </a:solidFill>
                <a:latin typeface="+mn-lt"/>
                <a:ea typeface="+mn-ea"/>
                <a:cs typeface="+mn-cs"/>
              </a:defRPr>
            </a:pPr>
            <a:endParaRPr lang="en-US"/>
          </a:p>
        </c:txPr>
        <c:crossAx val="38873024"/>
        <c:crosses val="autoZero"/>
        <c:auto val="1"/>
        <c:lblAlgn val="ctr"/>
        <c:lblOffset val="100"/>
        <c:noMultiLvlLbl val="0"/>
      </c:catAx>
      <c:valAx>
        <c:axId val="38873024"/>
        <c:scaling>
          <c:orientation val="minMax"/>
        </c:scaling>
        <c:delete val="1"/>
        <c:axPos val="l"/>
        <c:numFmt formatCode="&quot;$&quot;#,##0" sourceLinked="1"/>
        <c:majorTickMark val="none"/>
        <c:minorTickMark val="none"/>
        <c:tickLblPos val="nextTo"/>
        <c:crossAx val="3886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rgbClr val="6F4E37"/>
                </a:solidFill>
                <a:latin typeface="Arial" panose="020B0604020202020204" pitchFamily="34" charset="0"/>
                <a:cs typeface="Arial" panose="020B0604020202020204" pitchFamily="34" charset="0"/>
              </a:rPr>
              <a:t>Quater Price Trend</a:t>
            </a:r>
          </a:p>
        </c:rich>
      </c:tx>
      <c:layout>
        <c:manualLayout>
          <c:xMode val="edge"/>
          <c:yMode val="edge"/>
          <c:x val="0.22557634760337597"/>
          <c:y val="4.663696872911238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4A373"/>
          </a:solidFill>
          <a:ln w="19050">
            <a:solidFill>
              <a:schemeClr val="lt1"/>
            </a:solidFill>
          </a:ln>
          <a:effectLst/>
        </c:spPr>
        <c:dLbl>
          <c:idx val="0"/>
          <c:layout>
            <c:manualLayout>
              <c:x val="0.15555555555555545"/>
              <c:y val="-0.12500000000000006"/>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A2E8FE02-4F38-4A0F-A3F6-151BA9B330B5}" type="VALUE">
                  <a:rPr lang="en-US"/>
                  <a:pPr>
                    <a:defRPr sz="900" b="0" i="0" u="none" strike="noStrike" kern="1200" baseline="0">
                      <a:solidFill>
                        <a:srgbClr val="6F4E37"/>
                      </a:solidFill>
                      <a:latin typeface="+mn-lt"/>
                      <a:ea typeface="+mn-ea"/>
                      <a:cs typeface="+mn-cs"/>
                    </a:defRPr>
                  </a:pPr>
                  <a:t>[VALUE]</a:t>
                </a:fld>
                <a:endParaRPr lang="en-US" baseline="0"/>
              </a:p>
              <a:p>
                <a:pPr>
                  <a:defRPr sz="900" b="0" i="0" u="none" strike="noStrike" kern="1200" baseline="0">
                    <a:solidFill>
                      <a:srgbClr val="6F4E37"/>
                    </a:solidFill>
                    <a:latin typeface="+mn-lt"/>
                    <a:ea typeface="+mn-ea"/>
                    <a:cs typeface="+mn-cs"/>
                  </a:defRPr>
                </a:pPr>
                <a:r>
                  <a:rPr lang="en-US" baseline="0"/>
                  <a:t> </a:t>
                </a:r>
                <a:fld id="{EF3DCCEB-B584-41C9-A933-9C88006749D6}" type="PERCENTAGE">
                  <a:rPr lang="en-US" baseline="0"/>
                  <a:pPr>
                    <a:defRPr sz="900" b="0" i="0" u="none" strike="noStrike" kern="1200" baseline="0">
                      <a:solidFill>
                        <a:srgbClr val="6F4E37"/>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B08968"/>
          </a:solidFill>
          <a:ln w="19050">
            <a:solidFill>
              <a:schemeClr val="lt1"/>
            </a:solidFill>
          </a:ln>
          <a:effectLst/>
        </c:spPr>
        <c:dLbl>
          <c:idx val="0"/>
          <c:layout>
            <c:manualLayout>
              <c:x val="-3.3333333333333284E-2"/>
              <c:y val="-0.16666666666666674"/>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7CD54137-494D-49E2-99AA-3B816333A51C}" type="VALUE">
                  <a:rPr lang="en-US"/>
                  <a:pPr>
                    <a:defRPr sz="900" b="0" i="0" u="none" strike="noStrike" kern="1200" baseline="0">
                      <a:solidFill>
                        <a:srgbClr val="6F4E37"/>
                      </a:solidFill>
                      <a:latin typeface="+mn-lt"/>
                      <a:ea typeface="+mn-ea"/>
                      <a:cs typeface="+mn-cs"/>
                    </a:defRPr>
                  </a:pPr>
                  <a:t>[VALUE]</a:t>
                </a:fld>
                <a:endParaRPr lang="en-US" baseline="0"/>
              </a:p>
              <a:p>
                <a:pPr>
                  <a:defRPr sz="900" b="0" i="0" u="none" strike="noStrike" kern="1200" baseline="0">
                    <a:solidFill>
                      <a:srgbClr val="6F4E37"/>
                    </a:solidFill>
                    <a:latin typeface="+mn-lt"/>
                    <a:ea typeface="+mn-ea"/>
                    <a:cs typeface="+mn-cs"/>
                  </a:defRPr>
                </a:pPr>
                <a:r>
                  <a:rPr lang="en-US" baseline="0"/>
                  <a:t> </a:t>
                </a:r>
                <a:fld id="{D9E2F8F3-32C0-40AF-8FA9-298EB4CA338D}" type="PERCENTAGE">
                  <a:rPr lang="en-US" baseline="0"/>
                  <a:pPr>
                    <a:defRPr sz="900" b="0" i="0" u="none" strike="noStrike" kern="1200" baseline="0">
                      <a:solidFill>
                        <a:srgbClr val="6F4E37"/>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6F4E37"/>
          </a:solidFill>
          <a:ln w="19050">
            <a:solidFill>
              <a:schemeClr val="lt1"/>
            </a:solidFill>
          </a:ln>
          <a:effectLst/>
        </c:spPr>
        <c:dLbl>
          <c:idx val="0"/>
          <c:layout>
            <c:manualLayout>
              <c:x val="-6.3888888888888912E-2"/>
              <c:y val="-0.12500000000000003"/>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839F1283-D404-4176-A547-6D5A1739CEED}" type="VALUE">
                  <a:rPr lang="en-US"/>
                  <a:pPr>
                    <a:defRPr sz="900" b="0" i="0" u="none" strike="noStrike" kern="1200" baseline="0">
                      <a:solidFill>
                        <a:srgbClr val="6F4E37"/>
                      </a:solidFill>
                      <a:latin typeface="+mn-lt"/>
                      <a:ea typeface="+mn-ea"/>
                      <a:cs typeface="+mn-cs"/>
                    </a:defRPr>
                  </a:pPr>
                  <a:t>[VALUE]</a:t>
                </a:fld>
                <a:r>
                  <a:rPr lang="en-US" baseline="0"/>
                  <a:t> </a:t>
                </a:r>
              </a:p>
              <a:p>
                <a:pPr>
                  <a:defRPr sz="900" b="0" i="0" u="none" strike="noStrike" kern="1200" baseline="0">
                    <a:solidFill>
                      <a:srgbClr val="6F4E37"/>
                    </a:solidFill>
                    <a:latin typeface="+mn-lt"/>
                    <a:ea typeface="+mn-ea"/>
                    <a:cs typeface="+mn-cs"/>
                  </a:defRPr>
                </a:pPr>
                <a:fld id="{B955C52B-63F6-4985-9B91-FE03C40E1DF0}" type="PERCENTAGE">
                  <a:rPr lang="en-US" baseline="0"/>
                  <a:pPr>
                    <a:defRPr sz="900" b="0" i="0" u="none" strike="noStrike" kern="1200" baseline="0">
                      <a:solidFill>
                        <a:srgbClr val="6F4E37"/>
                      </a:solidFill>
                      <a:latin typeface="+mn-lt"/>
                      <a:ea typeface="+mn-ea"/>
                      <a:cs typeface="+mn-cs"/>
                    </a:defRPr>
                  </a:pPr>
                  <a:t>[PERCENTAGE]</a:t>
                </a:fld>
                <a:endParaRPr lang="en-US"/>
              </a:p>
            </c:rich>
          </c:tx>
          <c:spPr>
            <a:noFill/>
            <a:ln>
              <a:noFill/>
            </a:ln>
            <a:effectLst/>
          </c:spPr>
          <c:showLegendKey val="0"/>
          <c:showVal val="1"/>
          <c:showCatName val="0"/>
          <c:showSerName val="0"/>
          <c:showPercent val="1"/>
          <c:showBubbleSize val="0"/>
          <c:extLst>
            <c:ext xmlns:c15="http://schemas.microsoft.com/office/drawing/2012/chart" uri="{CE6537A1-D6FC-4f65-9D91-7224C49458BB}">
              <c15:layout>
                <c:manualLayout>
                  <c:w val="9.8027777777777783E-2"/>
                  <c:h val="0.11560185185185186"/>
                </c:manualLayout>
              </c15:layout>
              <c15:dlblFieldTable/>
              <c15:showDataLabelsRange val="0"/>
            </c:ext>
          </c:extLst>
        </c:dLbl>
      </c:pivotFmt>
      <c:pivotFmt>
        <c:idx val="4"/>
        <c:spPr>
          <a:solidFill>
            <a:schemeClr val="accent3"/>
          </a:solidFill>
          <a:ln w="19050">
            <a:solidFill>
              <a:schemeClr val="lt1"/>
            </a:solidFill>
          </a:ln>
          <a:effectLst/>
        </c:spPr>
        <c:dLbl>
          <c:idx val="0"/>
          <c:layout>
            <c:manualLayout>
              <c:x val="-0.10833333333333336"/>
              <c:y val="0.1388888888888889"/>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83BB8FB3-FCC5-4223-AECC-5C3E40FC7846}" type="VALUE">
                  <a:rPr lang="en-US"/>
                  <a:pPr>
                    <a:defRPr sz="900" b="0" i="0" u="none" strike="noStrike" kern="1200" baseline="0">
                      <a:solidFill>
                        <a:srgbClr val="6F4E37"/>
                      </a:solidFill>
                      <a:latin typeface="+mn-lt"/>
                      <a:ea typeface="+mn-ea"/>
                      <a:cs typeface="+mn-cs"/>
                    </a:defRPr>
                  </a:pPr>
                  <a:t>[VALUE]</a:t>
                </a:fld>
                <a:endParaRPr lang="en-US" baseline="0"/>
              </a:p>
              <a:p>
                <a:pPr>
                  <a:defRPr sz="900" b="0" i="0" u="none" strike="noStrike" kern="1200" baseline="0">
                    <a:solidFill>
                      <a:srgbClr val="6F4E37"/>
                    </a:solidFill>
                    <a:latin typeface="+mn-lt"/>
                    <a:ea typeface="+mn-ea"/>
                    <a:cs typeface="+mn-cs"/>
                  </a:defRPr>
                </a:pPr>
                <a:r>
                  <a:rPr lang="en-US" baseline="0"/>
                  <a:t> </a:t>
                </a:r>
                <a:fld id="{EA12DC67-F8C0-4F60-8416-A14A54CAFA11}" type="PERCENTAGE">
                  <a:rPr lang="en-US" baseline="0"/>
                  <a:pPr>
                    <a:defRPr sz="900" b="0" i="0" u="none" strike="noStrike" kern="1200" baseline="0">
                      <a:solidFill>
                        <a:srgbClr val="6F4E37"/>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D4A373"/>
          </a:solidFill>
          <a:ln w="19050">
            <a:solidFill>
              <a:schemeClr val="lt1"/>
            </a:solidFill>
          </a:ln>
          <a:effectLst/>
        </c:spPr>
        <c:dLbl>
          <c:idx val="0"/>
          <c:layout>
            <c:manualLayout>
              <c:x val="0.15555555555555545"/>
              <c:y val="-0.12500000000000006"/>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A2E8FE02-4F38-4A0F-A3F6-151BA9B330B5}" type="VALUE">
                  <a:rPr lang="en-US"/>
                  <a:pPr>
                    <a:defRPr sz="900" b="0" i="0" u="none" strike="noStrike" kern="1200" baseline="0">
                      <a:solidFill>
                        <a:srgbClr val="6F4E37"/>
                      </a:solidFill>
                      <a:latin typeface="+mn-lt"/>
                      <a:ea typeface="+mn-ea"/>
                      <a:cs typeface="+mn-cs"/>
                    </a:defRPr>
                  </a:pPr>
                  <a:t>[VALUE]</a:t>
                </a:fld>
                <a:endParaRPr lang="en-US" baseline="0"/>
              </a:p>
              <a:p>
                <a:pPr>
                  <a:defRPr sz="900" b="0" i="0" u="none" strike="noStrike" kern="1200" baseline="0">
                    <a:solidFill>
                      <a:srgbClr val="6F4E37"/>
                    </a:solidFill>
                    <a:latin typeface="+mn-lt"/>
                    <a:ea typeface="+mn-ea"/>
                    <a:cs typeface="+mn-cs"/>
                  </a:defRPr>
                </a:pPr>
                <a:r>
                  <a:rPr lang="en-US" baseline="0"/>
                  <a:t> </a:t>
                </a:r>
                <a:fld id="{EF3DCCEB-B584-41C9-A933-9C88006749D6}" type="PERCENTAGE">
                  <a:rPr lang="en-US" baseline="0"/>
                  <a:pPr>
                    <a:defRPr sz="900" b="0" i="0" u="none" strike="noStrike" kern="1200" baseline="0">
                      <a:solidFill>
                        <a:srgbClr val="6F4E37"/>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B08968"/>
          </a:solidFill>
          <a:ln w="19050">
            <a:solidFill>
              <a:schemeClr val="lt1"/>
            </a:solidFill>
          </a:ln>
          <a:effectLst/>
        </c:spPr>
        <c:dLbl>
          <c:idx val="0"/>
          <c:layout>
            <c:manualLayout>
              <c:x val="-3.3333333333333284E-2"/>
              <c:y val="-0.16666666666666674"/>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7CD54137-494D-49E2-99AA-3B816333A51C}" type="VALUE">
                  <a:rPr lang="en-US"/>
                  <a:pPr>
                    <a:defRPr sz="900" b="0" i="0" u="none" strike="noStrike" kern="1200" baseline="0">
                      <a:solidFill>
                        <a:srgbClr val="6F4E37"/>
                      </a:solidFill>
                      <a:latin typeface="+mn-lt"/>
                      <a:ea typeface="+mn-ea"/>
                      <a:cs typeface="+mn-cs"/>
                    </a:defRPr>
                  </a:pPr>
                  <a:t>[VALUE]</a:t>
                </a:fld>
                <a:endParaRPr lang="en-US" baseline="0"/>
              </a:p>
              <a:p>
                <a:pPr>
                  <a:defRPr sz="900" b="0" i="0" u="none" strike="noStrike" kern="1200" baseline="0">
                    <a:solidFill>
                      <a:srgbClr val="6F4E37"/>
                    </a:solidFill>
                    <a:latin typeface="+mn-lt"/>
                    <a:ea typeface="+mn-ea"/>
                    <a:cs typeface="+mn-cs"/>
                  </a:defRPr>
                </a:pPr>
                <a:r>
                  <a:rPr lang="en-US" baseline="0"/>
                  <a:t> </a:t>
                </a:r>
                <a:fld id="{D9E2F8F3-32C0-40AF-8FA9-298EB4CA338D}" type="PERCENTAGE">
                  <a:rPr lang="en-US" baseline="0"/>
                  <a:pPr>
                    <a:defRPr sz="900" b="0" i="0" u="none" strike="noStrike" kern="1200" baseline="0">
                      <a:solidFill>
                        <a:srgbClr val="6F4E37"/>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0833333333333336"/>
              <c:y val="0.1388888888888889"/>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83BB8FB3-FCC5-4223-AECC-5C3E40FC7846}" type="VALUE">
                  <a:rPr lang="en-US"/>
                  <a:pPr>
                    <a:defRPr sz="900" b="0" i="0" u="none" strike="noStrike" kern="1200" baseline="0">
                      <a:solidFill>
                        <a:srgbClr val="6F4E37"/>
                      </a:solidFill>
                      <a:latin typeface="+mn-lt"/>
                      <a:ea typeface="+mn-ea"/>
                      <a:cs typeface="+mn-cs"/>
                    </a:defRPr>
                  </a:pPr>
                  <a:t>[VALUE]</a:t>
                </a:fld>
                <a:endParaRPr lang="en-US" baseline="0"/>
              </a:p>
              <a:p>
                <a:pPr>
                  <a:defRPr sz="900" b="0" i="0" u="none" strike="noStrike" kern="1200" baseline="0">
                    <a:solidFill>
                      <a:srgbClr val="6F4E37"/>
                    </a:solidFill>
                    <a:latin typeface="+mn-lt"/>
                    <a:ea typeface="+mn-ea"/>
                    <a:cs typeface="+mn-cs"/>
                  </a:defRPr>
                </a:pPr>
                <a:r>
                  <a:rPr lang="en-US" baseline="0"/>
                  <a:t> </a:t>
                </a:r>
                <a:fld id="{EA12DC67-F8C0-4F60-8416-A14A54CAFA11}" type="PERCENTAGE">
                  <a:rPr lang="en-US" baseline="0"/>
                  <a:pPr>
                    <a:defRPr sz="900" b="0" i="0" u="none" strike="noStrike" kern="1200" baseline="0">
                      <a:solidFill>
                        <a:srgbClr val="6F4E37"/>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rgbClr val="6F4E37"/>
          </a:solidFill>
          <a:ln w="19050">
            <a:solidFill>
              <a:schemeClr val="lt1"/>
            </a:solidFill>
          </a:ln>
          <a:effectLst/>
        </c:spPr>
        <c:dLbl>
          <c:idx val="0"/>
          <c:layout>
            <c:manualLayout>
              <c:x val="-6.3888888888888912E-2"/>
              <c:y val="-0.12500000000000003"/>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fld id="{839F1283-D404-4176-A547-6D5A1739CEED}" type="VALUE">
                  <a:rPr lang="en-US"/>
                  <a:pPr>
                    <a:defRPr sz="900" b="0" i="0" u="none" strike="noStrike" kern="1200" baseline="0">
                      <a:solidFill>
                        <a:srgbClr val="6F4E37"/>
                      </a:solidFill>
                      <a:latin typeface="+mn-lt"/>
                      <a:ea typeface="+mn-ea"/>
                      <a:cs typeface="+mn-cs"/>
                    </a:defRPr>
                  </a:pPr>
                  <a:t>[VALUE]</a:t>
                </a:fld>
                <a:r>
                  <a:rPr lang="en-US" baseline="0"/>
                  <a:t> </a:t>
                </a:r>
              </a:p>
              <a:p>
                <a:pPr>
                  <a:defRPr sz="900" b="0" i="0" u="none" strike="noStrike" kern="1200" baseline="0">
                    <a:solidFill>
                      <a:srgbClr val="6F4E37"/>
                    </a:solidFill>
                    <a:latin typeface="+mn-lt"/>
                    <a:ea typeface="+mn-ea"/>
                    <a:cs typeface="+mn-cs"/>
                  </a:defRPr>
                </a:pPr>
                <a:fld id="{B955C52B-63F6-4985-9B91-FE03C40E1DF0}" type="PERCENTAGE">
                  <a:rPr lang="en-US" baseline="0"/>
                  <a:pPr>
                    <a:defRPr sz="900" b="0" i="0" u="none" strike="noStrike" kern="1200" baseline="0">
                      <a:solidFill>
                        <a:srgbClr val="6F4E37"/>
                      </a:solidFill>
                      <a:latin typeface="+mn-lt"/>
                      <a:ea typeface="+mn-ea"/>
                      <a:cs typeface="+mn-cs"/>
                    </a:defRPr>
                  </a:pPr>
                  <a:t>[PERCENTAGE]</a:t>
                </a:fld>
                <a:endParaRPr lang="en-US"/>
              </a:p>
            </c:rich>
          </c:tx>
          <c:spPr>
            <a:noFill/>
            <a:ln>
              <a:noFill/>
            </a:ln>
            <a:effectLst/>
          </c:spPr>
          <c:showLegendKey val="0"/>
          <c:showVal val="1"/>
          <c:showCatName val="0"/>
          <c:showSerName val="0"/>
          <c:showPercent val="1"/>
          <c:showBubbleSize val="0"/>
          <c:extLst>
            <c:ext xmlns:c15="http://schemas.microsoft.com/office/drawing/2012/chart" uri="{CE6537A1-D6FC-4f65-9D91-7224C49458BB}">
              <c15:layout>
                <c:manualLayout>
                  <c:w val="9.8027777777777783E-2"/>
                  <c:h val="0.11560185185185186"/>
                </c:manualLayout>
              </c15:layout>
              <c15:dlblFieldTable/>
              <c15:showDataLabelsRange val="0"/>
            </c:ext>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D4A373"/>
          </a:solidFill>
          <a:ln w="19050">
            <a:solidFill>
              <a:schemeClr val="lt1"/>
            </a:solidFill>
          </a:ln>
          <a:effectLst/>
        </c:spPr>
        <c:dLbl>
          <c:idx val="0"/>
          <c:layout>
            <c:manualLayout>
              <c:x val="4.286011884766025E-2"/>
              <c:y val="-0.1250002055701282"/>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fld id="{A2E8FE02-4F38-4A0F-A3F6-151BA9B330B5}" type="VALUE">
                  <a:rPr lang="en-US">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[VALUE]</a:t>
                </a:fld>
                <a:endParaRPr lang="en-US" baseline="0">
                  <a:latin typeface="Arial" panose="020B0604020202020204" pitchFamily="34" charset="0"/>
                  <a:cs typeface="Arial" panose="020B0604020202020204" pitchFamily="34" charset="0"/>
                </a:endParaRPr>
              </a:p>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r>
                  <a:rPr lang="en-US" baseline="0">
                    <a:latin typeface="Arial" panose="020B0604020202020204" pitchFamily="34" charset="0"/>
                    <a:cs typeface="Arial" panose="020B0604020202020204" pitchFamily="34" charset="0"/>
                  </a:rPr>
                  <a:t> </a:t>
                </a:r>
                <a:fld id="{EF3DCCEB-B584-41C9-A933-9C88006749D6}" type="PERCENTAGE">
                  <a:rPr lang="en-US" baseline="0">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[PERCENTAGE]</a:t>
                </a:fld>
                <a:endParaRPr lang="en-US" baseline="0">
                  <a:latin typeface="Arial" panose="020B0604020202020204" pitchFamily="34" charset="0"/>
                  <a:cs typeface="Arial" panose="020B0604020202020204" pitchFamily="34" charset="0"/>
                </a:endParaRPr>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2"/>
        <c:spPr>
          <a:solidFill>
            <a:srgbClr val="B08968"/>
          </a:solidFill>
          <a:ln w="19050">
            <a:solidFill>
              <a:schemeClr val="lt1"/>
            </a:solidFill>
          </a:ln>
          <a:effectLst/>
        </c:spPr>
        <c:dLbl>
          <c:idx val="0"/>
          <c:layout>
            <c:manualLayout>
              <c:x val="-0.14393346249800951"/>
              <c:y val="-0.15650052631789602"/>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fld id="{7CD54137-494D-49E2-99AA-3B816333A51C}" type="VALUE">
                  <a:rPr lang="en-US">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[VALUE]</a:t>
                </a:fld>
                <a:endParaRPr lang="en-US" baseline="0">
                  <a:latin typeface="Arial" panose="020B0604020202020204" pitchFamily="34" charset="0"/>
                  <a:cs typeface="Arial" panose="020B0604020202020204" pitchFamily="34" charset="0"/>
                </a:endParaRPr>
              </a:p>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r>
                  <a:rPr lang="en-US" baseline="0">
                    <a:latin typeface="Arial" panose="020B0604020202020204" pitchFamily="34" charset="0"/>
                    <a:cs typeface="Arial" panose="020B0604020202020204" pitchFamily="34" charset="0"/>
                  </a:rPr>
                  <a:t> </a:t>
                </a:r>
                <a:fld id="{D9E2F8F3-32C0-40AF-8FA9-298EB4CA338D}" type="PERCENTAGE">
                  <a:rPr lang="en-US" baseline="0">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[PERCENTAGE]</a:t>
                </a:fld>
                <a:endParaRPr lang="en-US" baseline="0">
                  <a:latin typeface="Arial" panose="020B0604020202020204" pitchFamily="34" charset="0"/>
                  <a:cs typeface="Arial" panose="020B0604020202020204" pitchFamily="34" charset="0"/>
                </a:endParaRPr>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3"/>
        <c:spPr>
          <a:solidFill>
            <a:schemeClr val="accent3"/>
          </a:solidFill>
          <a:ln w="19050">
            <a:solidFill>
              <a:schemeClr val="lt1"/>
            </a:solidFill>
          </a:ln>
          <a:effectLst/>
        </c:spPr>
        <c:dLbl>
          <c:idx val="0"/>
          <c:layout>
            <c:manualLayout>
              <c:x val="-0.10833333333333336"/>
              <c:y val="0.1388888888888889"/>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fld id="{83BB8FB3-FCC5-4223-AECC-5C3E40FC7846}" type="VALUE">
                  <a:rPr lang="en-US">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[VALUE]</a:t>
                </a:fld>
                <a:endParaRPr lang="en-US" baseline="0">
                  <a:latin typeface="Arial" panose="020B0604020202020204" pitchFamily="34" charset="0"/>
                  <a:cs typeface="Arial" panose="020B0604020202020204" pitchFamily="34" charset="0"/>
                </a:endParaRPr>
              </a:p>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r>
                  <a:rPr lang="en-US" baseline="0">
                    <a:latin typeface="Arial" panose="020B0604020202020204" pitchFamily="34" charset="0"/>
                    <a:cs typeface="Arial" panose="020B0604020202020204" pitchFamily="34" charset="0"/>
                  </a:rPr>
                  <a:t> </a:t>
                </a:r>
                <a:fld id="{EA12DC67-F8C0-4F60-8416-A14A54CAFA11}" type="PERCENTAGE">
                  <a:rPr lang="en-US" baseline="0">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[PERCENTAGE]</a:t>
                </a:fld>
                <a:endParaRPr lang="en-US" baseline="0">
                  <a:latin typeface="Arial" panose="020B0604020202020204" pitchFamily="34" charset="0"/>
                  <a:cs typeface="Arial" panose="020B0604020202020204" pitchFamily="34" charset="0"/>
                </a:endParaRPr>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4"/>
        <c:spPr>
          <a:solidFill>
            <a:srgbClr val="6F4E37"/>
          </a:solidFill>
          <a:ln w="19050">
            <a:solidFill>
              <a:schemeClr val="lt1"/>
            </a:solidFill>
          </a:ln>
          <a:effectLst/>
        </c:spPr>
        <c:dLbl>
          <c:idx val="0"/>
          <c:layout>
            <c:manualLayout>
              <c:x val="-8.1418754132207727E-2"/>
              <c:y val="-0.18714652212533453"/>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fld id="{839F1283-D404-4176-A547-6D5A1739CEED}" type="VALUE">
                  <a:rPr lang="en-US">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[VALUE]</a:t>
                </a:fld>
                <a:r>
                  <a:rPr lang="en-US" baseline="0">
                    <a:latin typeface="Arial" panose="020B0604020202020204" pitchFamily="34" charset="0"/>
                    <a:cs typeface="Arial" panose="020B0604020202020204" pitchFamily="34" charset="0"/>
                  </a:rPr>
                  <a:t> </a:t>
                </a:r>
              </a:p>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fld id="{B955C52B-63F6-4985-9B91-FE03C40E1DF0}" type="PERCENTAGE">
                  <a:rPr lang="en-US" baseline="0">
                    <a:latin typeface="Arial" panose="020B0604020202020204" pitchFamily="34" charset="0"/>
                    <a:cs typeface="Arial" panose="020B0604020202020204" pitchFamily="34" charset="0"/>
                  </a:rPr>
                  <a:pPr>
                    <a:defRPr sz="1000" b="0" i="0" u="none" strike="noStrike" kern="1200" baseline="0">
                      <a:solidFill>
                        <a:srgbClr val="6F4E37"/>
                      </a:solidFill>
                      <a:latin typeface="Arial" panose="020B0604020202020204" pitchFamily="34" charset="0"/>
                      <a:ea typeface="+mn-ea"/>
                      <a:cs typeface="Arial" panose="020B0604020202020204" pitchFamily="34" charset="0"/>
                    </a:defRPr>
                  </a:pPr>
                  <a:t>[PERCENTAGE]</a:t>
                </a:fld>
                <a:endParaRPr lang="en-US"/>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1646748287375442"/>
                  <c:h val="0.16157259980304894"/>
                </c:manualLayout>
              </c15:layout>
              <c15:dlblFieldTable/>
              <c15:showDataLabelsRange val="0"/>
            </c:ext>
          </c:extLst>
        </c:dLbl>
      </c:pivotFmt>
    </c:pivotFmts>
    <c:plotArea>
      <c:layout/>
      <c:doughnutChart>
        <c:varyColors val="1"/>
        <c:ser>
          <c:idx val="0"/>
          <c:order val="0"/>
          <c:tx>
            <c:strRef>
              <c:f>'Pivot Table'!$B$51</c:f>
              <c:strCache>
                <c:ptCount val="1"/>
                <c:pt idx="0">
                  <c:v>Total</c:v>
                </c:pt>
              </c:strCache>
            </c:strRef>
          </c:tx>
          <c:dPt>
            <c:idx val="0"/>
            <c:bubble3D val="0"/>
            <c:spPr>
              <a:solidFill>
                <a:srgbClr val="D4A373"/>
              </a:solidFill>
              <a:ln w="19050">
                <a:solidFill>
                  <a:schemeClr val="lt1"/>
                </a:solidFill>
              </a:ln>
              <a:effectLst/>
            </c:spPr>
            <c:extLst>
              <c:ext xmlns:c16="http://schemas.microsoft.com/office/drawing/2014/chart" uri="{C3380CC4-5D6E-409C-BE32-E72D297353CC}">
                <c16:uniqueId val="{00000001-47C7-4F1A-87D5-0B16D0A58862}"/>
              </c:ext>
            </c:extLst>
          </c:dPt>
          <c:dPt>
            <c:idx val="1"/>
            <c:bubble3D val="0"/>
            <c:spPr>
              <a:solidFill>
                <a:srgbClr val="B08968"/>
              </a:solidFill>
              <a:ln w="19050">
                <a:solidFill>
                  <a:schemeClr val="lt1"/>
                </a:solidFill>
              </a:ln>
              <a:effectLst/>
            </c:spPr>
            <c:extLst>
              <c:ext xmlns:c16="http://schemas.microsoft.com/office/drawing/2014/chart" uri="{C3380CC4-5D6E-409C-BE32-E72D297353CC}">
                <c16:uniqueId val="{00000003-47C7-4F1A-87D5-0B16D0A588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C7-4F1A-87D5-0B16D0A58862}"/>
              </c:ext>
            </c:extLst>
          </c:dPt>
          <c:dPt>
            <c:idx val="3"/>
            <c:bubble3D val="0"/>
            <c:spPr>
              <a:solidFill>
                <a:srgbClr val="6F4E37"/>
              </a:solidFill>
              <a:ln w="19050">
                <a:solidFill>
                  <a:schemeClr val="lt1"/>
                </a:solidFill>
              </a:ln>
              <a:effectLst/>
            </c:spPr>
            <c:extLst>
              <c:ext xmlns:c16="http://schemas.microsoft.com/office/drawing/2014/chart" uri="{C3380CC4-5D6E-409C-BE32-E72D297353CC}">
                <c16:uniqueId val="{00000007-47C7-4F1A-87D5-0B16D0A58862}"/>
              </c:ext>
            </c:extLst>
          </c:dPt>
          <c:dLbls>
            <c:dLbl>
              <c:idx val="0"/>
              <c:layout>
                <c:manualLayout>
                  <c:x val="4.286011884766025E-2"/>
                  <c:y val="-0.1250002055701282"/>
                </c:manualLayout>
              </c:layout>
              <c:tx>
                <c:rich>
                  <a:bodyPr/>
                  <a:lstStyle/>
                  <a:p>
                    <a:fld id="{A2E8FE02-4F38-4A0F-A3F6-151BA9B330B5}" type="VALUE">
                      <a:rPr lang="en-US">
                        <a:latin typeface="Arial" panose="020B0604020202020204" pitchFamily="34" charset="0"/>
                        <a:cs typeface="Arial" panose="020B0604020202020204" pitchFamily="34" charset="0"/>
                      </a:rPr>
                      <a:pPr/>
                      <a:t>[VALUE]</a:t>
                    </a:fld>
                    <a:endParaRPr lang="en-US" baseline="0">
                      <a:latin typeface="Arial" panose="020B0604020202020204" pitchFamily="34" charset="0"/>
                      <a:cs typeface="Arial" panose="020B0604020202020204" pitchFamily="34" charset="0"/>
                    </a:endParaRPr>
                  </a:p>
                  <a:p>
                    <a:r>
                      <a:rPr lang="en-US" baseline="0">
                        <a:latin typeface="Arial" panose="020B0604020202020204" pitchFamily="34" charset="0"/>
                        <a:cs typeface="Arial" panose="020B0604020202020204" pitchFamily="34" charset="0"/>
                      </a:rPr>
                      <a:t> </a:t>
                    </a:r>
                    <a:fld id="{EF3DCCEB-B584-41C9-A933-9C88006749D6}"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7C7-4F1A-87D5-0B16D0A58862}"/>
                </c:ext>
              </c:extLst>
            </c:dLbl>
            <c:dLbl>
              <c:idx val="1"/>
              <c:layout>
                <c:manualLayout>
                  <c:x val="-0.14393346249800951"/>
                  <c:y val="-0.15650052631789602"/>
                </c:manualLayout>
              </c:layout>
              <c:tx>
                <c:rich>
                  <a:bodyPr/>
                  <a:lstStyle/>
                  <a:p>
                    <a:fld id="{7CD54137-494D-49E2-99AA-3B816333A51C}" type="VALUE">
                      <a:rPr lang="en-US">
                        <a:latin typeface="Arial" panose="020B0604020202020204" pitchFamily="34" charset="0"/>
                        <a:cs typeface="Arial" panose="020B0604020202020204" pitchFamily="34" charset="0"/>
                      </a:rPr>
                      <a:pPr/>
                      <a:t>[VALUE]</a:t>
                    </a:fld>
                    <a:endParaRPr lang="en-US" baseline="0">
                      <a:latin typeface="Arial" panose="020B0604020202020204" pitchFamily="34" charset="0"/>
                      <a:cs typeface="Arial" panose="020B0604020202020204" pitchFamily="34" charset="0"/>
                    </a:endParaRPr>
                  </a:p>
                  <a:p>
                    <a:r>
                      <a:rPr lang="en-US" baseline="0">
                        <a:latin typeface="Arial" panose="020B0604020202020204" pitchFamily="34" charset="0"/>
                        <a:cs typeface="Arial" panose="020B0604020202020204" pitchFamily="34" charset="0"/>
                      </a:rPr>
                      <a:t> </a:t>
                    </a:r>
                    <a:fld id="{D9E2F8F3-32C0-40AF-8FA9-298EB4CA338D}"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7C7-4F1A-87D5-0B16D0A58862}"/>
                </c:ext>
              </c:extLst>
            </c:dLbl>
            <c:dLbl>
              <c:idx val="2"/>
              <c:layout>
                <c:manualLayout>
                  <c:x val="-0.10833333333333336"/>
                  <c:y val="0.1388888888888889"/>
                </c:manualLayout>
              </c:layout>
              <c:tx>
                <c:rich>
                  <a:bodyPr/>
                  <a:lstStyle/>
                  <a:p>
                    <a:fld id="{83BB8FB3-FCC5-4223-AECC-5C3E40FC7846}" type="VALUE">
                      <a:rPr lang="en-US">
                        <a:latin typeface="Arial" panose="020B0604020202020204" pitchFamily="34" charset="0"/>
                        <a:cs typeface="Arial" panose="020B0604020202020204" pitchFamily="34" charset="0"/>
                      </a:rPr>
                      <a:pPr/>
                      <a:t>[VALUE]</a:t>
                    </a:fld>
                    <a:endParaRPr lang="en-US" baseline="0">
                      <a:latin typeface="Arial" panose="020B0604020202020204" pitchFamily="34" charset="0"/>
                      <a:cs typeface="Arial" panose="020B0604020202020204" pitchFamily="34" charset="0"/>
                    </a:endParaRPr>
                  </a:p>
                  <a:p>
                    <a:r>
                      <a:rPr lang="en-US" baseline="0">
                        <a:latin typeface="Arial" panose="020B0604020202020204" pitchFamily="34" charset="0"/>
                        <a:cs typeface="Arial" panose="020B0604020202020204" pitchFamily="34" charset="0"/>
                      </a:rPr>
                      <a:t> </a:t>
                    </a:r>
                    <a:fld id="{EA12DC67-F8C0-4F60-8416-A14A54CAFA11}"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7C7-4F1A-87D5-0B16D0A58862}"/>
                </c:ext>
              </c:extLst>
            </c:dLbl>
            <c:dLbl>
              <c:idx val="3"/>
              <c:layout>
                <c:manualLayout>
                  <c:x val="-8.1418754132207727E-2"/>
                  <c:y val="-0.18714652212533453"/>
                </c:manualLayout>
              </c:layout>
              <c:tx>
                <c:rich>
                  <a:bodyPr/>
                  <a:lstStyle/>
                  <a:p>
                    <a:fld id="{839F1283-D404-4176-A547-6D5A1739CEED}" type="VALUE">
                      <a:rPr lang="en-US">
                        <a:latin typeface="Arial" panose="020B0604020202020204" pitchFamily="34" charset="0"/>
                        <a:cs typeface="Arial" panose="020B0604020202020204" pitchFamily="34" charset="0"/>
                      </a:rPr>
                      <a:pPr/>
                      <a:t>[VALUE]</a:t>
                    </a:fld>
                    <a:r>
                      <a:rPr lang="en-US" baseline="0">
                        <a:latin typeface="Arial" panose="020B0604020202020204" pitchFamily="34" charset="0"/>
                        <a:cs typeface="Arial" panose="020B0604020202020204" pitchFamily="34" charset="0"/>
                      </a:rPr>
                      <a:t> </a:t>
                    </a:r>
                  </a:p>
                  <a:p>
                    <a:fld id="{B955C52B-63F6-4985-9B91-FE03C40E1DF0}" type="PERCENTAGE">
                      <a:rPr lang="en-US" baseline="0">
                        <a:latin typeface="Arial" panose="020B0604020202020204" pitchFamily="34" charset="0"/>
                        <a:cs typeface="Arial" panose="020B0604020202020204" pitchFamily="34" charset="0"/>
                      </a:rPr>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manualLayout>
                      <c:w val="0.21646748287375442"/>
                      <c:h val="0.16157259980304894"/>
                    </c:manualLayout>
                  </c15:layout>
                  <c15:dlblFieldTable/>
                  <c15:showDataLabelsRange val="0"/>
                </c:ext>
                <c:ext xmlns:c16="http://schemas.microsoft.com/office/drawing/2014/chart" uri="{C3380CC4-5D6E-409C-BE32-E72D297353CC}">
                  <c16:uniqueId val="{00000007-47C7-4F1A-87D5-0B16D0A58862}"/>
                </c:ext>
              </c:extLst>
            </c:dLbl>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6F4E37"/>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showLeaderLines val="1"/>
            <c:leaderLines>
              <c:spPr>
                <a:ln w="9525" cap="flat" cmpd="sng" algn="ctr">
                  <a:solidFill>
                    <a:srgbClr val="6F4E37"/>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Table'!$A$52:$A$56</c:f>
              <c:strCache>
                <c:ptCount val="4"/>
                <c:pt idx="0">
                  <c:v>Qtr1</c:v>
                </c:pt>
                <c:pt idx="1">
                  <c:v>Qtr2</c:v>
                </c:pt>
                <c:pt idx="2">
                  <c:v>Qtr3</c:v>
                </c:pt>
                <c:pt idx="3">
                  <c:v>Qtr4</c:v>
                </c:pt>
              </c:strCache>
            </c:strRef>
          </c:cat>
          <c:val>
            <c:numRef>
              <c:f>'Pivot Table'!$B$52:$B$56</c:f>
              <c:numCache>
                <c:formatCode>"$"#,##0</c:formatCode>
                <c:ptCount val="4"/>
                <c:pt idx="0">
                  <c:v>942.1049999999999</c:v>
                </c:pt>
                <c:pt idx="1">
                  <c:v>767.8</c:v>
                </c:pt>
                <c:pt idx="2">
                  <c:v>928.70499999999993</c:v>
                </c:pt>
                <c:pt idx="3">
                  <c:v>1107.2350000000001</c:v>
                </c:pt>
              </c:numCache>
            </c:numRef>
          </c:val>
          <c:extLst>
            <c:ext xmlns:c16="http://schemas.microsoft.com/office/drawing/2014/chart" uri="{C3380CC4-5D6E-409C-BE32-E72D297353CC}">
              <c16:uniqueId val="{00000008-47C7-4F1A-87D5-0B16D0A588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060846183449217"/>
          <c:y val="0.38346921540610535"/>
          <c:w val="0.17199153020330166"/>
          <c:h val="0.343109638221485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6F4E37"/>
                </a:solidFill>
                <a:latin typeface="Arial" panose="020B0604020202020204" pitchFamily="34" charset="0"/>
                <a:cs typeface="Arial" panose="020B0604020202020204" pitchFamily="34" charset="0"/>
              </a:rPr>
              <a:t>Profit</a:t>
            </a:r>
            <a:r>
              <a:rPr lang="en-US" sz="1200" baseline="0">
                <a:solidFill>
                  <a:srgbClr val="6F4E37"/>
                </a:solidFill>
                <a:latin typeface="Arial" panose="020B0604020202020204" pitchFamily="34" charset="0"/>
                <a:cs typeface="Arial" panose="020B0604020202020204" pitchFamily="34" charset="0"/>
              </a:rPr>
              <a:t> by Size</a:t>
            </a:r>
            <a:endParaRPr lang="en-US" sz="1200">
              <a:solidFill>
                <a:srgbClr val="6F4E37"/>
              </a:solidFill>
              <a:latin typeface="Arial" panose="020B0604020202020204" pitchFamily="34" charset="0"/>
              <a:cs typeface="Arial" panose="020B0604020202020204" pitchFamily="34" charset="0"/>
            </a:endParaRPr>
          </a:p>
        </c:rich>
      </c:tx>
      <c:layout>
        <c:manualLayout>
          <c:xMode val="edge"/>
          <c:yMode val="edge"/>
          <c:x val="0.35719213735799304"/>
          <c:y val="4.35087746774037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F4E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96911196911976E-4"/>
          <c:y val="1.6264051460151722E-3"/>
          <c:w val="0.91783380018674132"/>
          <c:h val="0.64897660718174421"/>
        </c:manualLayout>
      </c:layout>
      <c:barChart>
        <c:barDir val="col"/>
        <c:grouping val="clustered"/>
        <c:varyColors val="0"/>
        <c:ser>
          <c:idx val="0"/>
          <c:order val="0"/>
          <c:tx>
            <c:strRef>
              <c:f>'Pivot Table'!$B$28</c:f>
              <c:strCache>
                <c:ptCount val="1"/>
                <c:pt idx="0">
                  <c:v>Total</c:v>
                </c:pt>
              </c:strCache>
            </c:strRef>
          </c:tx>
          <c:spPr>
            <a:solidFill>
              <a:srgbClr val="6F4E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0.2</c:v>
                </c:pt>
                <c:pt idx="1">
                  <c:v>0.5</c:v>
                </c:pt>
                <c:pt idx="2">
                  <c:v>1</c:v>
                </c:pt>
                <c:pt idx="3">
                  <c:v>2.5</c:v>
                </c:pt>
              </c:strCache>
            </c:strRef>
          </c:cat>
          <c:val>
            <c:numRef>
              <c:f>'Pivot Table'!$B$29:$B$33</c:f>
              <c:numCache>
                <c:formatCode>"$"#,##0</c:formatCode>
                <c:ptCount val="4"/>
                <c:pt idx="0">
                  <c:v>32.558100000000017</c:v>
                </c:pt>
                <c:pt idx="1">
                  <c:v>62.507400000000018</c:v>
                </c:pt>
                <c:pt idx="2">
                  <c:v>105.06549999999999</c:v>
                </c:pt>
                <c:pt idx="3">
                  <c:v>179.6460999999999</c:v>
                </c:pt>
              </c:numCache>
            </c:numRef>
          </c:val>
          <c:extLst>
            <c:ext xmlns:c16="http://schemas.microsoft.com/office/drawing/2014/chart" uri="{C3380CC4-5D6E-409C-BE32-E72D297353CC}">
              <c16:uniqueId val="{00000000-A115-4235-9E26-AB4B2540D608}"/>
            </c:ext>
          </c:extLst>
        </c:ser>
        <c:dLbls>
          <c:dLblPos val="outEnd"/>
          <c:showLegendKey val="0"/>
          <c:showVal val="1"/>
          <c:showCatName val="0"/>
          <c:showSerName val="0"/>
          <c:showPercent val="0"/>
          <c:showBubbleSize val="0"/>
        </c:dLbls>
        <c:gapWidth val="219"/>
        <c:overlap val="-27"/>
        <c:axId val="38848544"/>
        <c:axId val="38850464"/>
      </c:barChart>
      <c:catAx>
        <c:axId val="3884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0464"/>
        <c:crosses val="autoZero"/>
        <c:auto val="1"/>
        <c:lblAlgn val="ctr"/>
        <c:lblOffset val="100"/>
        <c:noMultiLvlLbl val="0"/>
      </c:catAx>
      <c:valAx>
        <c:axId val="38850464"/>
        <c:scaling>
          <c:orientation val="minMax"/>
        </c:scaling>
        <c:delete val="1"/>
        <c:axPos val="l"/>
        <c:numFmt formatCode="&quot;$&quot;#,##0" sourceLinked="1"/>
        <c:majorTickMark val="none"/>
        <c:minorTickMark val="none"/>
        <c:tickLblPos val="nextTo"/>
        <c:crossAx val="3884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361950</xdr:colOff>
      <xdr:row>8</xdr:row>
      <xdr:rowOff>152400</xdr:rowOff>
    </xdr:from>
    <xdr:to>
      <xdr:col>6</xdr:col>
      <xdr:colOff>28576</xdr:colOff>
      <xdr:row>17</xdr:row>
      <xdr:rowOff>142876</xdr:rowOff>
    </xdr:to>
    <xdr:graphicFrame macro="">
      <xdr:nvGraphicFramePr>
        <xdr:cNvPr id="2" name="Chart 1">
          <a:extLst>
            <a:ext uri="{FF2B5EF4-FFF2-40B4-BE49-F238E27FC236}">
              <a16:creationId xmlns:a16="http://schemas.microsoft.com/office/drawing/2014/main" id="{0F766913-3B67-0CA8-AC4D-AE9FD6F6C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1038225</xdr:colOff>
      <xdr:row>1</xdr:row>
      <xdr:rowOff>152401</xdr:rowOff>
    </xdr:from>
    <xdr:to>
      <xdr:col>8</xdr:col>
      <xdr:colOff>666750</xdr:colOff>
      <xdr:row>9</xdr:row>
      <xdr:rowOff>57151</xdr:rowOff>
    </xdr:to>
    <mc:AlternateContent xmlns:mc="http://schemas.openxmlformats.org/markup-compatibility/2006" xmlns:a14="http://schemas.microsoft.com/office/drawing/2010/main">
      <mc:Choice Requires="a14">
        <xdr:graphicFrame macro="">
          <xdr:nvGraphicFramePr>
            <xdr:cNvPr id="8" name="Coffee_Type">
              <a:extLst>
                <a:ext uri="{FF2B5EF4-FFF2-40B4-BE49-F238E27FC236}">
                  <a16:creationId xmlns:a16="http://schemas.microsoft.com/office/drawing/2014/main" id="{0ADF0739-22D5-B519-A201-D9028E370E72}"/>
                </a:ext>
              </a:extLst>
            </xdr:cNvPr>
            <xdr:cNvGraphicFramePr/>
          </xdr:nvGraphicFramePr>
          <xdr:xfrm>
            <a:off x="0" y="0"/>
            <a:ext cx="0" cy="0"/>
          </xdr:xfrm>
          <a:graphic>
            <a:graphicData uri="http://schemas.microsoft.com/office/drawing/2010/slicer">
              <sle:slicer xmlns:sle="http://schemas.microsoft.com/office/drawing/2010/slicer" name="Coffee_Type"/>
            </a:graphicData>
          </a:graphic>
        </xdr:graphicFrame>
      </mc:Choice>
      <mc:Fallback xmlns="">
        <xdr:sp macro="" textlink="">
          <xdr:nvSpPr>
            <xdr:cNvPr id="0" name=""/>
            <xdr:cNvSpPr>
              <a:spLocks noTextEdit="1"/>
            </xdr:cNvSpPr>
          </xdr:nvSpPr>
          <xdr:spPr>
            <a:xfrm>
              <a:off x="6267450" y="342901"/>
              <a:ext cx="180022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809625</xdr:colOff>
      <xdr:row>7</xdr:row>
      <xdr:rowOff>133351</xdr:rowOff>
    </xdr:from>
    <xdr:to>
      <xdr:col>10</xdr:col>
      <xdr:colOff>447675</xdr:colOff>
      <xdr:row>12</xdr:row>
      <xdr:rowOff>76201</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6B1CF724-E7D1-107E-CDD1-118CE0FF3EF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8362950" y="1466850"/>
              <a:ext cx="180975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714375</xdr:colOff>
      <xdr:row>0</xdr:row>
      <xdr:rowOff>152400</xdr:rowOff>
    </xdr:from>
    <xdr:to>
      <xdr:col>6</xdr:col>
      <xdr:colOff>647700</xdr:colOff>
      <xdr:row>7</xdr:row>
      <xdr:rowOff>66675</xdr:rowOff>
    </xdr:to>
    <mc:AlternateContent xmlns:mc="http://schemas.openxmlformats.org/markup-compatibility/2006" xmlns:a14="http://schemas.microsoft.com/office/drawing/2010/main">
      <mc:Choice Requires="a14">
        <xdr:graphicFrame macro="">
          <xdr:nvGraphicFramePr>
            <xdr:cNvPr id="11" name="Roast_Type">
              <a:extLst>
                <a:ext uri="{FF2B5EF4-FFF2-40B4-BE49-F238E27FC236}">
                  <a16:creationId xmlns:a16="http://schemas.microsoft.com/office/drawing/2014/main" id="{560DE0A3-325A-C10D-DAAF-6DEC86E0FA80}"/>
                </a:ext>
              </a:extLst>
            </xdr:cNvPr>
            <xdr:cNvGraphicFramePr/>
          </xdr:nvGraphicFramePr>
          <xdr:xfrm>
            <a:off x="0" y="0"/>
            <a:ext cx="0" cy="0"/>
          </xdr:xfrm>
          <a:graphic>
            <a:graphicData uri="http://schemas.microsoft.com/office/drawing/2010/slicer">
              <sle:slicer xmlns:sle="http://schemas.microsoft.com/office/drawing/2010/slicer" name="Roast_Type"/>
            </a:graphicData>
          </a:graphic>
        </xdr:graphicFrame>
      </mc:Choice>
      <mc:Fallback xmlns="">
        <xdr:sp macro="" textlink="">
          <xdr:nvSpPr>
            <xdr:cNvPr id="0" name=""/>
            <xdr:cNvSpPr>
              <a:spLocks noTextEdit="1"/>
            </xdr:cNvSpPr>
          </xdr:nvSpPr>
          <xdr:spPr>
            <a:xfrm>
              <a:off x="4200525" y="15240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581025</xdr:colOff>
      <xdr:row>0</xdr:row>
      <xdr:rowOff>38100</xdr:rowOff>
    </xdr:from>
    <xdr:to>
      <xdr:col>10</xdr:col>
      <xdr:colOff>238125</xdr:colOff>
      <xdr:row>7</xdr:row>
      <xdr:rowOff>142875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F11FFB8C-E555-ED7C-ACF6-0FAB1C6251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34350" y="38100"/>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295275</xdr:colOff>
      <xdr:row>5</xdr:row>
      <xdr:rowOff>114300</xdr:rowOff>
    </xdr:from>
    <xdr:to>
      <xdr:col>5</xdr:col>
      <xdr:colOff>38100</xdr:colOff>
      <xdr:row>11</xdr:row>
      <xdr:rowOff>66675</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FE92D9B1-E000-9B2E-90C2-4120B42584C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81200" y="1066800"/>
              <a:ext cx="2200275" cy="10953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838201</xdr:colOff>
      <xdr:row>28</xdr:row>
      <xdr:rowOff>66675</xdr:rowOff>
    </xdr:from>
    <xdr:to>
      <xdr:col>8</xdr:col>
      <xdr:colOff>638175</xdr:colOff>
      <xdr:row>34</xdr:row>
      <xdr:rowOff>76201</xdr:rowOff>
    </xdr:to>
    <xdr:graphicFrame macro="">
      <xdr:nvGraphicFramePr>
        <xdr:cNvPr id="10" name="Chart 9">
          <a:extLst>
            <a:ext uri="{FF2B5EF4-FFF2-40B4-BE49-F238E27FC236}">
              <a16:creationId xmlns:a16="http://schemas.microsoft.com/office/drawing/2014/main" id="{AAC0D58C-999A-4630-907B-C53BC901F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35</xdr:row>
      <xdr:rowOff>0</xdr:rowOff>
    </xdr:from>
    <xdr:to>
      <xdr:col>5</xdr:col>
      <xdr:colOff>685801</xdr:colOff>
      <xdr:row>48</xdr:row>
      <xdr:rowOff>161925</xdr:rowOff>
    </xdr:to>
    <xdr:graphicFrame macro="">
      <xdr:nvGraphicFramePr>
        <xdr:cNvPr id="16" name="Chart 15">
          <a:extLst>
            <a:ext uri="{FF2B5EF4-FFF2-40B4-BE49-F238E27FC236}">
              <a16:creationId xmlns:a16="http://schemas.microsoft.com/office/drawing/2014/main" id="{F509FFC0-E6C7-4BDC-BE87-EC7C3E9CE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17</xdr:row>
      <xdr:rowOff>142875</xdr:rowOff>
    </xdr:from>
    <xdr:to>
      <xdr:col>6</xdr:col>
      <xdr:colOff>114300</xdr:colOff>
      <xdr:row>30</xdr:row>
      <xdr:rowOff>47625</xdr:rowOff>
    </xdr:to>
    <xdr:graphicFrame macro="">
      <xdr:nvGraphicFramePr>
        <xdr:cNvPr id="18" name="Chart 17">
          <a:extLst>
            <a:ext uri="{FF2B5EF4-FFF2-40B4-BE49-F238E27FC236}">
              <a16:creationId xmlns:a16="http://schemas.microsoft.com/office/drawing/2014/main" id="{021C7D60-A54A-27A8-09CE-E76D320C5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104775</xdr:colOff>
      <xdr:row>50</xdr:row>
      <xdr:rowOff>76200</xdr:rowOff>
    </xdr:from>
    <xdr:to>
      <xdr:col>5</xdr:col>
      <xdr:colOff>647700</xdr:colOff>
      <xdr:row>63</xdr:row>
      <xdr:rowOff>19050</xdr:rowOff>
    </xdr:to>
    <xdr:graphicFrame macro="">
      <xdr:nvGraphicFramePr>
        <xdr:cNvPr id="3" name="Chart 2">
          <a:extLst>
            <a:ext uri="{FF2B5EF4-FFF2-40B4-BE49-F238E27FC236}">
              <a16:creationId xmlns:a16="http://schemas.microsoft.com/office/drawing/2014/main" id="{28B12073-DAD2-1CBE-D385-4C864CD5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130735</xdr:colOff>
      <xdr:row>37</xdr:row>
      <xdr:rowOff>114300</xdr:rowOff>
    </xdr:to>
    <xdr:sp macro="" textlink="">
      <xdr:nvSpPr>
        <xdr:cNvPr id="15" name="Rectangle 14">
          <a:extLst>
            <a:ext uri="{FF2B5EF4-FFF2-40B4-BE49-F238E27FC236}">
              <a16:creationId xmlns:a16="http://schemas.microsoft.com/office/drawing/2014/main" id="{4DE736FA-19EE-EBFA-5CCE-BC13274CCD8C}"/>
            </a:ext>
          </a:extLst>
        </xdr:cNvPr>
        <xdr:cNvSpPr/>
      </xdr:nvSpPr>
      <xdr:spPr>
        <a:xfrm>
          <a:off x="0" y="0"/>
          <a:ext cx="10493935" cy="7162800"/>
        </a:xfrm>
        <a:prstGeom prst="rect">
          <a:avLst/>
        </a:prstGeom>
        <a:solidFill>
          <a:srgbClr val="FDF6E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151934</xdr:colOff>
      <xdr:row>7</xdr:row>
      <xdr:rowOff>11086</xdr:rowOff>
    </xdr:from>
    <xdr:to>
      <xdr:col>3</xdr:col>
      <xdr:colOff>67180</xdr:colOff>
      <xdr:row>11</xdr:row>
      <xdr:rowOff>115839</xdr:rowOff>
    </xdr:to>
    <xdr:sp macro="" textlink="">
      <xdr:nvSpPr>
        <xdr:cNvPr id="16" name="Rectangle: Rounded Corners 15">
          <a:extLst>
            <a:ext uri="{FF2B5EF4-FFF2-40B4-BE49-F238E27FC236}">
              <a16:creationId xmlns:a16="http://schemas.microsoft.com/office/drawing/2014/main" id="{553C1763-A343-7407-A861-29DA0D99D2CD}"/>
            </a:ext>
          </a:extLst>
        </xdr:cNvPr>
        <xdr:cNvSpPr/>
      </xdr:nvSpPr>
      <xdr:spPr>
        <a:xfrm>
          <a:off x="151934" y="1322725"/>
          <a:ext cx="1742172" cy="854262"/>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6F4E37"/>
              </a:solidFill>
              <a:latin typeface="Arial" panose="020B0604020202020204" pitchFamily="34" charset="0"/>
              <a:cs typeface="Arial" panose="020B0604020202020204" pitchFamily="34" charset="0"/>
            </a:rPr>
            <a:t>TOTAL SALES</a:t>
          </a:r>
        </a:p>
      </xdr:txBody>
    </xdr:sp>
    <xdr:clientData/>
  </xdr:twoCellAnchor>
  <xdr:twoCellAnchor>
    <xdr:from>
      <xdr:col>0</xdr:col>
      <xdr:colOff>0</xdr:colOff>
      <xdr:row>0</xdr:row>
      <xdr:rowOff>1</xdr:rowOff>
    </xdr:from>
    <xdr:to>
      <xdr:col>8</xdr:col>
      <xdr:colOff>384342</xdr:colOff>
      <xdr:row>6</xdr:row>
      <xdr:rowOff>16710</xdr:rowOff>
    </xdr:to>
    <xdr:sp macro="" textlink="">
      <xdr:nvSpPr>
        <xdr:cNvPr id="17" name="Rectangle: Rounded Corners 16">
          <a:extLst>
            <a:ext uri="{FF2B5EF4-FFF2-40B4-BE49-F238E27FC236}">
              <a16:creationId xmlns:a16="http://schemas.microsoft.com/office/drawing/2014/main" id="{74B373A9-FED5-4C70-9FEC-C7A5A159B3DD}"/>
            </a:ext>
          </a:extLst>
        </xdr:cNvPr>
        <xdr:cNvSpPr/>
      </xdr:nvSpPr>
      <xdr:spPr>
        <a:xfrm>
          <a:off x="0" y="1"/>
          <a:ext cx="5196974" cy="1119604"/>
        </a:xfrm>
        <a:prstGeom prst="roundRect">
          <a:avLst/>
        </a:prstGeom>
        <a:solidFill>
          <a:srgbClr val="6F4E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latin typeface="Arial" panose="020B0604020202020204" pitchFamily="34" charset="0"/>
            <a:cs typeface="Arial" panose="020B0604020202020204" pitchFamily="34" charset="0"/>
          </a:endParaRPr>
        </a:p>
        <a:p>
          <a:pPr algn="ctr"/>
          <a:r>
            <a:rPr lang="en-US" sz="1800" b="1">
              <a:latin typeface="Arial" panose="020B0604020202020204" pitchFamily="34" charset="0"/>
              <a:cs typeface="Arial" panose="020B0604020202020204" pitchFamily="34" charset="0"/>
            </a:rPr>
            <a:t>COFFEE</a:t>
          </a:r>
          <a:r>
            <a:rPr lang="en-US" sz="1800" b="1" baseline="0">
              <a:latin typeface="Arial" panose="020B0604020202020204" pitchFamily="34" charset="0"/>
              <a:cs typeface="Arial" panose="020B0604020202020204" pitchFamily="34" charset="0"/>
            </a:rPr>
            <a:t> SALES DASHBOARD</a:t>
          </a:r>
          <a:endParaRPr lang="en-US" sz="1800" b="1">
            <a:latin typeface="Arial" panose="020B0604020202020204" pitchFamily="34" charset="0"/>
            <a:cs typeface="Arial" panose="020B0604020202020204" pitchFamily="34" charset="0"/>
          </a:endParaRPr>
        </a:p>
      </xdr:txBody>
    </xdr:sp>
    <xdr:clientData/>
  </xdr:twoCellAnchor>
  <xdr:twoCellAnchor>
    <xdr:from>
      <xdr:col>3</xdr:col>
      <xdr:colOff>294501</xdr:colOff>
      <xdr:row>7</xdr:row>
      <xdr:rowOff>28335</xdr:rowOff>
    </xdr:from>
    <xdr:to>
      <xdr:col>6</xdr:col>
      <xdr:colOff>250199</xdr:colOff>
      <xdr:row>11</xdr:row>
      <xdr:rowOff>124918</xdr:rowOff>
    </xdr:to>
    <xdr:sp macro="" textlink="">
      <xdr:nvSpPr>
        <xdr:cNvPr id="18" name="Rectangle: Rounded Corners 17">
          <a:extLst>
            <a:ext uri="{FF2B5EF4-FFF2-40B4-BE49-F238E27FC236}">
              <a16:creationId xmlns:a16="http://schemas.microsoft.com/office/drawing/2014/main" id="{111E05AE-3F61-44FC-8659-89313607D8B1}"/>
            </a:ext>
          </a:extLst>
        </xdr:cNvPr>
        <xdr:cNvSpPr/>
      </xdr:nvSpPr>
      <xdr:spPr>
        <a:xfrm>
          <a:off x="2121427" y="1339974"/>
          <a:ext cx="1782624" cy="846092"/>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6F4E37"/>
              </a:solidFill>
              <a:latin typeface="Arial" panose="020B0604020202020204" pitchFamily="34" charset="0"/>
              <a:cs typeface="Arial" panose="020B0604020202020204" pitchFamily="34" charset="0"/>
            </a:rPr>
            <a:t>CUSTOMER BASE</a:t>
          </a:r>
        </a:p>
        <a:p>
          <a:pPr algn="l"/>
          <a:endParaRPr lang="en-US" sz="1200" b="1">
            <a:solidFill>
              <a:srgbClr val="6F4E37"/>
            </a:solidFill>
            <a:latin typeface="Arial" panose="020B0604020202020204" pitchFamily="34" charset="0"/>
            <a:cs typeface="Arial" panose="020B0604020202020204" pitchFamily="34" charset="0"/>
          </a:endParaRPr>
        </a:p>
      </xdr:txBody>
    </xdr:sp>
    <xdr:clientData/>
  </xdr:twoCellAnchor>
  <xdr:twoCellAnchor>
    <xdr:from>
      <xdr:col>0</xdr:col>
      <xdr:colOff>22551</xdr:colOff>
      <xdr:row>12</xdr:row>
      <xdr:rowOff>84667</xdr:rowOff>
    </xdr:from>
    <xdr:to>
      <xdr:col>6</xdr:col>
      <xdr:colOff>105833</xdr:colOff>
      <xdr:row>24</xdr:row>
      <xdr:rowOff>1419</xdr:rowOff>
    </xdr:to>
    <xdr:sp macro="" textlink="">
      <xdr:nvSpPr>
        <xdr:cNvPr id="19" name="Rectangle: Rounded Corners 18">
          <a:extLst>
            <a:ext uri="{FF2B5EF4-FFF2-40B4-BE49-F238E27FC236}">
              <a16:creationId xmlns:a16="http://schemas.microsoft.com/office/drawing/2014/main" id="{A8AC0385-8DF7-4388-B62D-B1FA4AC68194}"/>
            </a:ext>
          </a:extLst>
        </xdr:cNvPr>
        <xdr:cNvSpPr/>
      </xdr:nvSpPr>
      <xdr:spPr>
        <a:xfrm>
          <a:off x="22551" y="2370667"/>
          <a:ext cx="3766282" cy="2202752"/>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501315</xdr:colOff>
      <xdr:row>0</xdr:row>
      <xdr:rowOff>6350</xdr:rowOff>
    </xdr:from>
    <xdr:to>
      <xdr:col>13</xdr:col>
      <xdr:colOff>66841</xdr:colOff>
      <xdr:row>6</xdr:row>
      <xdr:rowOff>33421</xdr:rowOff>
    </xdr:to>
    <xdr:sp macro="" textlink="">
      <xdr:nvSpPr>
        <xdr:cNvPr id="21" name="Rectangle: Rounded Corners 20">
          <a:extLst>
            <a:ext uri="{FF2B5EF4-FFF2-40B4-BE49-F238E27FC236}">
              <a16:creationId xmlns:a16="http://schemas.microsoft.com/office/drawing/2014/main" id="{D3EA5298-5DA8-4E3B-A040-5FDD8F51B7C9}"/>
            </a:ext>
          </a:extLst>
        </xdr:cNvPr>
        <xdr:cNvSpPr/>
      </xdr:nvSpPr>
      <xdr:spPr>
        <a:xfrm>
          <a:off x="5313947" y="6350"/>
          <a:ext cx="2573420" cy="1129966"/>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209730</xdr:colOff>
      <xdr:row>0</xdr:row>
      <xdr:rowOff>0</xdr:rowOff>
    </xdr:from>
    <xdr:to>
      <xdr:col>17</xdr:col>
      <xdr:colOff>105833</xdr:colOff>
      <xdr:row>37</xdr:row>
      <xdr:rowOff>72340</xdr:rowOff>
    </xdr:to>
    <xdr:sp macro="" textlink="">
      <xdr:nvSpPr>
        <xdr:cNvPr id="22" name="Rectangle: Rounded Corners 21">
          <a:extLst>
            <a:ext uri="{FF2B5EF4-FFF2-40B4-BE49-F238E27FC236}">
              <a16:creationId xmlns:a16="http://schemas.microsoft.com/office/drawing/2014/main" id="{0E11610E-EA68-4CD6-929E-81A128A8FF87}"/>
            </a:ext>
          </a:extLst>
        </xdr:cNvPr>
        <xdr:cNvSpPr/>
      </xdr:nvSpPr>
      <xdr:spPr>
        <a:xfrm>
          <a:off x="8134530" y="0"/>
          <a:ext cx="2334503" cy="7120840"/>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156147</xdr:colOff>
      <xdr:row>7</xdr:row>
      <xdr:rowOff>24215</xdr:rowOff>
    </xdr:from>
    <xdr:to>
      <xdr:col>13</xdr:col>
      <xdr:colOff>99258</xdr:colOff>
      <xdr:row>11</xdr:row>
      <xdr:rowOff>46844</xdr:rowOff>
    </xdr:to>
    <xdr:sp macro="" textlink="">
      <xdr:nvSpPr>
        <xdr:cNvPr id="24" name="Rectangle: Rounded Corners 23">
          <a:extLst>
            <a:ext uri="{FF2B5EF4-FFF2-40B4-BE49-F238E27FC236}">
              <a16:creationId xmlns:a16="http://schemas.microsoft.com/office/drawing/2014/main" id="{C5986D7D-80F0-4494-AEB8-61F04421111A}"/>
            </a:ext>
          </a:extLst>
        </xdr:cNvPr>
        <xdr:cNvSpPr/>
      </xdr:nvSpPr>
      <xdr:spPr>
        <a:xfrm>
          <a:off x="6245901" y="1335854"/>
          <a:ext cx="1770037" cy="772138"/>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6F4E37"/>
              </a:solidFill>
              <a:latin typeface="Arial" panose="020B0604020202020204" pitchFamily="34" charset="0"/>
              <a:cs typeface="Arial" panose="020B0604020202020204" pitchFamily="34" charset="0"/>
            </a:rPr>
            <a:t>TOTAL</a:t>
          </a:r>
          <a:r>
            <a:rPr lang="en-US" sz="1200" b="1" baseline="0">
              <a:solidFill>
                <a:srgbClr val="6F4E37"/>
              </a:solidFill>
              <a:latin typeface="Arial" panose="020B0604020202020204" pitchFamily="34" charset="0"/>
              <a:cs typeface="Arial" panose="020B0604020202020204" pitchFamily="34" charset="0"/>
            </a:rPr>
            <a:t> PROFIT</a:t>
          </a:r>
          <a:endParaRPr lang="en-US" sz="1200" b="1">
            <a:solidFill>
              <a:srgbClr val="6F4E37"/>
            </a:solidFill>
            <a:latin typeface="Arial" panose="020B0604020202020204" pitchFamily="34" charset="0"/>
            <a:cs typeface="Arial" panose="020B0604020202020204" pitchFamily="34" charset="0"/>
          </a:endParaRPr>
        </a:p>
      </xdr:txBody>
    </xdr:sp>
    <xdr:clientData/>
  </xdr:twoCellAnchor>
  <xdr:twoCellAnchor>
    <xdr:from>
      <xdr:col>6</xdr:col>
      <xdr:colOff>521313</xdr:colOff>
      <xdr:row>7</xdr:row>
      <xdr:rowOff>37521</xdr:rowOff>
    </xdr:from>
    <xdr:to>
      <xdr:col>9</xdr:col>
      <xdr:colOff>360057</xdr:colOff>
      <xdr:row>11</xdr:row>
      <xdr:rowOff>124918</xdr:rowOff>
    </xdr:to>
    <xdr:sp macro="" textlink="">
      <xdr:nvSpPr>
        <xdr:cNvPr id="25" name="Rectangle: Rounded Corners 24">
          <a:extLst>
            <a:ext uri="{FF2B5EF4-FFF2-40B4-BE49-F238E27FC236}">
              <a16:creationId xmlns:a16="http://schemas.microsoft.com/office/drawing/2014/main" id="{FC21D6CB-3975-4A76-8DE1-ADFE620DE0FC}"/>
            </a:ext>
          </a:extLst>
        </xdr:cNvPr>
        <xdr:cNvSpPr/>
      </xdr:nvSpPr>
      <xdr:spPr>
        <a:xfrm>
          <a:off x="4175165" y="1349160"/>
          <a:ext cx="1665671" cy="836906"/>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solidFill>
                <a:srgbClr val="6F4E37"/>
              </a:solidFill>
              <a:latin typeface="Arial" panose="020B0604020202020204" pitchFamily="34" charset="0"/>
              <a:cs typeface="Arial" panose="020B0604020202020204" pitchFamily="34" charset="0"/>
            </a:rPr>
            <a:t>TOTAL ORDERS</a:t>
          </a:r>
        </a:p>
      </xdr:txBody>
    </xdr:sp>
    <xdr:clientData/>
  </xdr:twoCellAnchor>
  <xdr:twoCellAnchor editAs="oneCell">
    <xdr:from>
      <xdr:col>8</xdr:col>
      <xdr:colOff>482959</xdr:colOff>
      <xdr:row>0</xdr:row>
      <xdr:rowOff>0</xdr:rowOff>
    </xdr:from>
    <xdr:to>
      <xdr:col>13</xdr:col>
      <xdr:colOff>40247</xdr:colOff>
      <xdr:row>5</xdr:row>
      <xdr:rowOff>171450</xdr:rowOff>
    </xdr:to>
    <mc:AlternateContent xmlns:mc="http://schemas.openxmlformats.org/markup-compatibility/2006">
      <mc:Choice xmlns:tsle="http://schemas.microsoft.com/office/drawing/2012/timeslicer" Requires="tsle">
        <xdr:graphicFrame macro="">
          <xdr:nvGraphicFramePr>
            <xdr:cNvPr id="30" name="Order Date 1">
              <a:extLst>
                <a:ext uri="{FF2B5EF4-FFF2-40B4-BE49-F238E27FC236}">
                  <a16:creationId xmlns:a16="http://schemas.microsoft.com/office/drawing/2014/main" id="{422057FB-B70A-4659-A177-447E889D310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312536" y="0"/>
              <a:ext cx="2575774" cy="11105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492776</xdr:colOff>
      <xdr:row>24</xdr:row>
      <xdr:rowOff>84666</xdr:rowOff>
    </xdr:from>
    <xdr:to>
      <xdr:col>13</xdr:col>
      <xdr:colOff>126999</xdr:colOff>
      <xdr:row>37</xdr:row>
      <xdr:rowOff>63500</xdr:rowOff>
    </xdr:to>
    <xdr:sp macro="" textlink="">
      <xdr:nvSpPr>
        <xdr:cNvPr id="31" name="Rectangle: Rounded Corners 30">
          <a:extLst>
            <a:ext uri="{FF2B5EF4-FFF2-40B4-BE49-F238E27FC236}">
              <a16:creationId xmlns:a16="http://schemas.microsoft.com/office/drawing/2014/main" id="{F546E383-F1A9-436E-9F75-30EB5903A715}"/>
            </a:ext>
          </a:extLst>
        </xdr:cNvPr>
        <xdr:cNvSpPr/>
      </xdr:nvSpPr>
      <xdr:spPr>
        <a:xfrm>
          <a:off x="5403443" y="4656666"/>
          <a:ext cx="2703389" cy="2455334"/>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395371</xdr:colOff>
      <xdr:row>24</xdr:row>
      <xdr:rowOff>105832</xdr:rowOff>
    </xdr:from>
    <xdr:to>
      <xdr:col>8</xdr:col>
      <xdr:colOff>381000</xdr:colOff>
      <xdr:row>37</xdr:row>
      <xdr:rowOff>-1</xdr:rowOff>
    </xdr:to>
    <xdr:sp macro="" textlink="">
      <xdr:nvSpPr>
        <xdr:cNvPr id="35" name="Rectangle: Rounded Corners 34">
          <a:extLst>
            <a:ext uri="{FF2B5EF4-FFF2-40B4-BE49-F238E27FC236}">
              <a16:creationId xmlns:a16="http://schemas.microsoft.com/office/drawing/2014/main" id="{454B6FE2-FAD3-41FD-9522-4713A9A70591}"/>
            </a:ext>
          </a:extLst>
        </xdr:cNvPr>
        <xdr:cNvSpPr/>
      </xdr:nvSpPr>
      <xdr:spPr>
        <a:xfrm>
          <a:off x="2850704" y="4677832"/>
          <a:ext cx="2440963" cy="2370667"/>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24655</xdr:colOff>
      <xdr:row>24</xdr:row>
      <xdr:rowOff>84666</xdr:rowOff>
    </xdr:from>
    <xdr:to>
      <xdr:col>4</xdr:col>
      <xdr:colOff>211667</xdr:colOff>
      <xdr:row>36</xdr:row>
      <xdr:rowOff>173533</xdr:rowOff>
    </xdr:to>
    <xdr:sp macro="" textlink="">
      <xdr:nvSpPr>
        <xdr:cNvPr id="39" name="Rectangle: Rounded Corners 38">
          <a:extLst>
            <a:ext uri="{FF2B5EF4-FFF2-40B4-BE49-F238E27FC236}">
              <a16:creationId xmlns:a16="http://schemas.microsoft.com/office/drawing/2014/main" id="{30C25CDB-DFFC-42E8-9B17-199FD1FBED94}"/>
            </a:ext>
          </a:extLst>
        </xdr:cNvPr>
        <xdr:cNvSpPr/>
      </xdr:nvSpPr>
      <xdr:spPr>
        <a:xfrm>
          <a:off x="24655" y="4656666"/>
          <a:ext cx="2642345" cy="2374867"/>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317500</xdr:colOff>
      <xdr:row>12</xdr:row>
      <xdr:rowOff>82975</xdr:rowOff>
    </xdr:from>
    <xdr:to>
      <xdr:col>13</xdr:col>
      <xdr:colOff>63500</xdr:colOff>
      <xdr:row>23</xdr:row>
      <xdr:rowOff>169333</xdr:rowOff>
    </xdr:to>
    <xdr:sp macro="" textlink="">
      <xdr:nvSpPr>
        <xdr:cNvPr id="42" name="Rectangle: Rounded Corners 41">
          <a:extLst>
            <a:ext uri="{FF2B5EF4-FFF2-40B4-BE49-F238E27FC236}">
              <a16:creationId xmlns:a16="http://schemas.microsoft.com/office/drawing/2014/main" id="{0318FF29-AC5F-4637-A6DE-C55EE1593464}"/>
            </a:ext>
          </a:extLst>
        </xdr:cNvPr>
        <xdr:cNvSpPr/>
      </xdr:nvSpPr>
      <xdr:spPr>
        <a:xfrm>
          <a:off x="3939683" y="2336778"/>
          <a:ext cx="3971880" cy="2152344"/>
        </a:xfrm>
        <a:prstGeom prst="roundRect">
          <a:avLst/>
        </a:prstGeom>
        <a:solidFill>
          <a:srgbClr val="FFF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469542</xdr:colOff>
      <xdr:row>11</xdr:row>
      <xdr:rowOff>67077</xdr:rowOff>
    </xdr:from>
    <xdr:to>
      <xdr:col>13</xdr:col>
      <xdr:colOff>13416</xdr:colOff>
      <xdr:row>25</xdr:row>
      <xdr:rowOff>48227</xdr:rowOff>
    </xdr:to>
    <xdr:graphicFrame macro="">
      <xdr:nvGraphicFramePr>
        <xdr:cNvPr id="43" name="Chart 42">
          <a:extLst>
            <a:ext uri="{FF2B5EF4-FFF2-40B4-BE49-F238E27FC236}">
              <a16:creationId xmlns:a16="http://schemas.microsoft.com/office/drawing/2014/main" id="{DE3FF0BC-FCC3-4F4A-8468-61EDA0D8C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214202</xdr:colOff>
      <xdr:row>23</xdr:row>
      <xdr:rowOff>180854</xdr:rowOff>
    </xdr:from>
    <xdr:to>
      <xdr:col>13</xdr:col>
      <xdr:colOff>157545</xdr:colOff>
      <xdr:row>37</xdr:row>
      <xdr:rowOff>54390</xdr:rowOff>
    </xdr:to>
    <xdr:graphicFrame macro="">
      <xdr:nvGraphicFramePr>
        <xdr:cNvPr id="44" name="Chart 43">
          <a:extLst>
            <a:ext uri="{FF2B5EF4-FFF2-40B4-BE49-F238E27FC236}">
              <a16:creationId xmlns:a16="http://schemas.microsoft.com/office/drawing/2014/main" id="{A24A6CD9-BA8E-4666-96A4-25EB697C8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211666</xdr:colOff>
      <xdr:row>12</xdr:row>
      <xdr:rowOff>12815</xdr:rowOff>
    </xdr:from>
    <xdr:to>
      <xdr:col>6</xdr:col>
      <xdr:colOff>104807</xdr:colOff>
      <xdr:row>24</xdr:row>
      <xdr:rowOff>161558</xdr:rowOff>
    </xdr:to>
    <xdr:graphicFrame macro="">
      <xdr:nvGraphicFramePr>
        <xdr:cNvPr id="47" name="Chart 46">
          <a:extLst>
            <a:ext uri="{FF2B5EF4-FFF2-40B4-BE49-F238E27FC236}">
              <a16:creationId xmlns:a16="http://schemas.microsoft.com/office/drawing/2014/main" id="{3D8AB2A9-41C2-4F99-9A6C-E20251563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494335</xdr:colOff>
      <xdr:row>24</xdr:row>
      <xdr:rowOff>120570</xdr:rowOff>
    </xdr:from>
    <xdr:to>
      <xdr:col>8</xdr:col>
      <xdr:colOff>446106</xdr:colOff>
      <xdr:row>36</xdr:row>
      <xdr:rowOff>174402</xdr:rowOff>
    </xdr:to>
    <xdr:graphicFrame macro="">
      <xdr:nvGraphicFramePr>
        <xdr:cNvPr id="48" name="Chart 47">
          <a:extLst>
            <a:ext uri="{FF2B5EF4-FFF2-40B4-BE49-F238E27FC236}">
              <a16:creationId xmlns:a16="http://schemas.microsoft.com/office/drawing/2014/main" id="{EF478509-4E47-4AA8-876D-F787FD963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36172</xdr:rowOff>
    </xdr:from>
    <xdr:to>
      <xdr:col>4</xdr:col>
      <xdr:colOff>229083</xdr:colOff>
      <xdr:row>36</xdr:row>
      <xdr:rowOff>148939</xdr:rowOff>
    </xdr:to>
    <xdr:graphicFrame macro="">
      <xdr:nvGraphicFramePr>
        <xdr:cNvPr id="49" name="Chart 48">
          <a:extLst>
            <a:ext uri="{FF2B5EF4-FFF2-40B4-BE49-F238E27FC236}">
              <a16:creationId xmlns:a16="http://schemas.microsoft.com/office/drawing/2014/main" id="{1B9ECED3-C3EE-42D3-9301-B59A43DE5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256948</xdr:colOff>
      <xdr:row>8</xdr:row>
      <xdr:rowOff>158777</xdr:rowOff>
    </xdr:from>
    <xdr:to>
      <xdr:col>17</xdr:col>
      <xdr:colOff>45280</xdr:colOff>
      <xdr:row>16</xdr:row>
      <xdr:rowOff>168798</xdr:rowOff>
    </xdr:to>
    <mc:AlternateContent xmlns:mc="http://schemas.openxmlformats.org/markup-compatibility/2006" xmlns:a14="http://schemas.microsoft.com/office/drawing/2010/main">
      <mc:Choice Requires="a14">
        <xdr:graphicFrame macro="">
          <xdr:nvGraphicFramePr>
            <xdr:cNvPr id="50" name="Roast_Type 1">
              <a:extLst>
                <a:ext uri="{FF2B5EF4-FFF2-40B4-BE49-F238E27FC236}">
                  <a16:creationId xmlns:a16="http://schemas.microsoft.com/office/drawing/2014/main" id="{8E01D79C-31C1-486D-9E09-6B5FC8EC1956}"/>
                </a:ext>
              </a:extLst>
            </xdr:cNvPr>
            <xdr:cNvGraphicFramePr/>
          </xdr:nvGraphicFramePr>
          <xdr:xfrm>
            <a:off x="0" y="0"/>
            <a:ext cx="0" cy="0"/>
          </xdr:xfrm>
          <a:graphic>
            <a:graphicData uri="http://schemas.microsoft.com/office/drawing/2010/slicer">
              <sle:slicer xmlns:sle="http://schemas.microsoft.com/office/drawing/2010/slicer" name="Roast_Type 1"/>
            </a:graphicData>
          </a:graphic>
        </xdr:graphicFrame>
      </mc:Choice>
      <mc:Fallback xmlns="">
        <xdr:sp macro="" textlink="">
          <xdr:nvSpPr>
            <xdr:cNvPr id="0" name=""/>
            <xdr:cNvSpPr>
              <a:spLocks noTextEdit="1"/>
            </xdr:cNvSpPr>
          </xdr:nvSpPr>
          <xdr:spPr>
            <a:xfrm>
              <a:off x="8173628" y="1657793"/>
              <a:ext cx="2224234" cy="1509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356886</xdr:colOff>
      <xdr:row>28</xdr:row>
      <xdr:rowOff>61385</xdr:rowOff>
    </xdr:from>
    <xdr:to>
      <xdr:col>16</xdr:col>
      <xdr:colOff>590791</xdr:colOff>
      <xdr:row>36</xdr:row>
      <xdr:rowOff>105566</xdr:rowOff>
    </xdr:to>
    <mc:AlternateContent xmlns:mc="http://schemas.openxmlformats.org/markup-compatibility/2006" xmlns:a14="http://schemas.microsoft.com/office/drawing/2010/main">
      <mc:Choice Requires="a14">
        <xdr:graphicFrame macro="">
          <xdr:nvGraphicFramePr>
            <xdr:cNvPr id="51" name="Coffee_Type 1">
              <a:extLst>
                <a:ext uri="{FF2B5EF4-FFF2-40B4-BE49-F238E27FC236}">
                  <a16:creationId xmlns:a16="http://schemas.microsoft.com/office/drawing/2014/main" id="{67FE239E-74B1-4C28-AC07-3073F9DD608B}"/>
                </a:ext>
              </a:extLst>
            </xdr:cNvPr>
            <xdr:cNvGraphicFramePr/>
          </xdr:nvGraphicFramePr>
          <xdr:xfrm>
            <a:off x="0" y="0"/>
            <a:ext cx="0" cy="0"/>
          </xdr:xfrm>
          <a:graphic>
            <a:graphicData uri="http://schemas.microsoft.com/office/drawing/2010/slicer">
              <sle:slicer xmlns:sle="http://schemas.microsoft.com/office/drawing/2010/slicer" name="Coffee_Type 1"/>
            </a:graphicData>
          </a:graphic>
        </xdr:graphicFrame>
      </mc:Choice>
      <mc:Fallback xmlns="">
        <xdr:sp macro="" textlink="">
          <xdr:nvSpPr>
            <xdr:cNvPr id="0" name=""/>
            <xdr:cNvSpPr>
              <a:spLocks noTextEdit="1"/>
            </xdr:cNvSpPr>
          </xdr:nvSpPr>
          <xdr:spPr>
            <a:xfrm>
              <a:off x="8273566" y="5307942"/>
              <a:ext cx="2060832" cy="1543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317233</xdr:colOff>
      <xdr:row>17</xdr:row>
      <xdr:rowOff>89901</xdr:rowOff>
    </xdr:from>
    <xdr:to>
      <xdr:col>17</xdr:col>
      <xdr:colOff>40993</xdr:colOff>
      <xdr:row>25</xdr:row>
      <xdr:rowOff>148490</xdr:rowOff>
    </xdr:to>
    <mc:AlternateContent xmlns:mc="http://schemas.openxmlformats.org/markup-compatibility/2006" xmlns:a14="http://schemas.microsoft.com/office/drawing/2010/main">
      <mc:Choice Requires="a14">
        <xdr:graphicFrame macro="">
          <xdr:nvGraphicFramePr>
            <xdr:cNvPr id="52" name="Year 1">
              <a:extLst>
                <a:ext uri="{FF2B5EF4-FFF2-40B4-BE49-F238E27FC236}">
                  <a16:creationId xmlns:a16="http://schemas.microsoft.com/office/drawing/2014/main" id="{9542B63A-78A3-461A-AFDE-070018CFFBA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33913" y="3275311"/>
              <a:ext cx="2159662" cy="1557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334210</xdr:colOff>
      <xdr:row>0</xdr:row>
      <xdr:rowOff>150395</xdr:rowOff>
    </xdr:from>
    <xdr:to>
      <xdr:col>16</xdr:col>
      <xdr:colOff>534736</xdr:colOff>
      <xdr:row>6</xdr:row>
      <xdr:rowOff>180855</xdr:rowOff>
    </xdr:to>
    <mc:AlternateContent xmlns:mc="http://schemas.openxmlformats.org/markup-compatibility/2006" xmlns:a14="http://schemas.microsoft.com/office/drawing/2010/main">
      <mc:Choice Requires="a14">
        <xdr:graphicFrame macro="">
          <xdr:nvGraphicFramePr>
            <xdr:cNvPr id="53" name="Loyalty Card 1">
              <a:extLst>
                <a:ext uri="{FF2B5EF4-FFF2-40B4-BE49-F238E27FC236}">
                  <a16:creationId xmlns:a16="http://schemas.microsoft.com/office/drawing/2014/main" id="{302B5104-5C6E-4DF0-A886-6272123BA0E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8250890" y="150395"/>
              <a:ext cx="2027453" cy="1154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390369</xdr:colOff>
      <xdr:row>8</xdr:row>
      <xdr:rowOff>140533</xdr:rowOff>
    </xdr:from>
    <xdr:to>
      <xdr:col>2</xdr:col>
      <xdr:colOff>405983</xdr:colOff>
      <xdr:row>11</xdr:row>
      <xdr:rowOff>156147</xdr:rowOff>
    </xdr:to>
    <xdr:sp macro="" textlink="'Pivot Table'!B6">
      <xdr:nvSpPr>
        <xdr:cNvPr id="54" name="Rectangle 53">
          <a:extLst>
            <a:ext uri="{FF2B5EF4-FFF2-40B4-BE49-F238E27FC236}">
              <a16:creationId xmlns:a16="http://schemas.microsoft.com/office/drawing/2014/main" id="{68904E43-94D1-7D88-4A65-0B87D9DBF284}"/>
            </a:ext>
          </a:extLst>
        </xdr:cNvPr>
        <xdr:cNvSpPr/>
      </xdr:nvSpPr>
      <xdr:spPr>
        <a:xfrm>
          <a:off x="390369" y="1639549"/>
          <a:ext cx="1233565" cy="577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2624F95-E2AD-4F7C-95E6-36ABB5CD373A}" type="TxLink">
            <a:rPr lang="en-US" sz="2000" b="0" i="0" u="none" strike="noStrike">
              <a:solidFill>
                <a:srgbClr val="6F4E37"/>
              </a:solidFill>
              <a:latin typeface="Arial" panose="020B0604020202020204" pitchFamily="34" charset="0"/>
              <a:ea typeface="Calibri"/>
              <a:cs typeface="Arial" panose="020B0604020202020204" pitchFamily="34" charset="0"/>
            </a:rPr>
            <a:pPr algn="l"/>
            <a:t>$13,766</a:t>
          </a:fld>
          <a:endParaRPr lang="en-US" sz="2000">
            <a:solidFill>
              <a:srgbClr val="6F4E37"/>
            </a:solidFill>
            <a:latin typeface="Arial" panose="020B0604020202020204" pitchFamily="34" charset="0"/>
            <a:cs typeface="Arial" panose="020B0604020202020204" pitchFamily="34" charset="0"/>
          </a:endParaRPr>
        </a:p>
      </xdr:txBody>
    </xdr:sp>
    <xdr:clientData/>
  </xdr:twoCellAnchor>
  <xdr:twoCellAnchor>
    <xdr:from>
      <xdr:col>4</xdr:col>
      <xdr:colOff>187376</xdr:colOff>
      <xdr:row>8</xdr:row>
      <xdr:rowOff>156148</xdr:rowOff>
    </xdr:from>
    <xdr:to>
      <xdr:col>6</xdr:col>
      <xdr:colOff>202991</xdr:colOff>
      <xdr:row>11</xdr:row>
      <xdr:rowOff>171762</xdr:rowOff>
    </xdr:to>
    <xdr:sp macro="" textlink="'Pivot Table'!B8">
      <xdr:nvSpPr>
        <xdr:cNvPr id="55" name="Rectangle 54">
          <a:extLst>
            <a:ext uri="{FF2B5EF4-FFF2-40B4-BE49-F238E27FC236}">
              <a16:creationId xmlns:a16="http://schemas.microsoft.com/office/drawing/2014/main" id="{6607AA64-FB3F-1881-B1FD-BEA1DF2C2AE1}"/>
            </a:ext>
          </a:extLst>
        </xdr:cNvPr>
        <xdr:cNvSpPr/>
      </xdr:nvSpPr>
      <xdr:spPr>
        <a:xfrm>
          <a:off x="2623278" y="1655164"/>
          <a:ext cx="1233565" cy="577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1790AE-E112-412D-A600-B7CA29ADF4F9}" type="TxLink">
            <a:rPr lang="en-US" sz="2000" b="0" i="0" u="none" strike="noStrike">
              <a:solidFill>
                <a:srgbClr val="6F4E37"/>
              </a:solidFill>
              <a:latin typeface="Arial" panose="020B0604020202020204" pitchFamily="34" charset="0"/>
              <a:ea typeface="Calibri"/>
              <a:cs typeface="Arial" panose="020B0604020202020204" pitchFamily="34" charset="0"/>
            </a:rPr>
            <a:pPr algn="l"/>
            <a:t>292</a:t>
          </a:fld>
          <a:endParaRPr lang="en-US" sz="2000">
            <a:solidFill>
              <a:srgbClr val="6F4E37"/>
            </a:solidFill>
            <a:latin typeface="Arial" panose="020B0604020202020204" pitchFamily="34" charset="0"/>
            <a:cs typeface="Arial" panose="020B0604020202020204" pitchFamily="34" charset="0"/>
          </a:endParaRPr>
        </a:p>
      </xdr:txBody>
    </xdr:sp>
    <xdr:clientData/>
  </xdr:twoCellAnchor>
  <xdr:twoCellAnchor>
    <xdr:from>
      <xdr:col>7</xdr:col>
      <xdr:colOff>202992</xdr:colOff>
      <xdr:row>8</xdr:row>
      <xdr:rowOff>171763</xdr:rowOff>
    </xdr:from>
    <xdr:to>
      <xdr:col>9</xdr:col>
      <xdr:colOff>218606</xdr:colOff>
      <xdr:row>12</xdr:row>
      <xdr:rowOff>0</xdr:rowOff>
    </xdr:to>
    <xdr:sp macro="" textlink="'Pivot Table'!B5">
      <xdr:nvSpPr>
        <xdr:cNvPr id="56" name="Rectangle 55">
          <a:extLst>
            <a:ext uri="{FF2B5EF4-FFF2-40B4-BE49-F238E27FC236}">
              <a16:creationId xmlns:a16="http://schemas.microsoft.com/office/drawing/2014/main" id="{CBAE9BAB-3A2C-698F-4114-815571AF80DD}"/>
            </a:ext>
          </a:extLst>
        </xdr:cNvPr>
        <xdr:cNvSpPr/>
      </xdr:nvSpPr>
      <xdr:spPr>
        <a:xfrm>
          <a:off x="4465820" y="1670779"/>
          <a:ext cx="1233565" cy="577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14009B-39C7-4B70-AA84-3F3DA63EAE30}" type="TxLink">
            <a:rPr lang="en-US" sz="2000" b="0" i="0" u="none" strike="noStrike">
              <a:solidFill>
                <a:srgbClr val="6F4E37"/>
              </a:solidFill>
              <a:latin typeface="Arial" panose="020B0604020202020204" pitchFamily="34" charset="0"/>
              <a:ea typeface="Calibri"/>
              <a:cs typeface="Arial" panose="020B0604020202020204" pitchFamily="34" charset="0"/>
            </a:rPr>
            <a:pPr algn="l"/>
            <a:t> 312 </a:t>
          </a:fld>
          <a:endParaRPr lang="en-US" sz="2000">
            <a:solidFill>
              <a:srgbClr val="6F4E37"/>
            </a:solidFill>
            <a:latin typeface="Arial" panose="020B0604020202020204" pitchFamily="34" charset="0"/>
            <a:cs typeface="Arial" panose="020B0604020202020204" pitchFamily="34" charset="0"/>
          </a:endParaRPr>
        </a:p>
      </xdr:txBody>
    </xdr:sp>
    <xdr:clientData/>
  </xdr:twoCellAnchor>
  <xdr:twoCellAnchor>
    <xdr:from>
      <xdr:col>10</xdr:col>
      <xdr:colOff>452828</xdr:colOff>
      <xdr:row>8</xdr:row>
      <xdr:rowOff>124919</xdr:rowOff>
    </xdr:from>
    <xdr:to>
      <xdr:col>12</xdr:col>
      <xdr:colOff>468442</xdr:colOff>
      <xdr:row>11</xdr:row>
      <xdr:rowOff>140533</xdr:rowOff>
    </xdr:to>
    <xdr:sp macro="" textlink="'Pivot Table'!B7">
      <xdr:nvSpPr>
        <xdr:cNvPr id="57" name="Rectangle 56">
          <a:extLst>
            <a:ext uri="{FF2B5EF4-FFF2-40B4-BE49-F238E27FC236}">
              <a16:creationId xmlns:a16="http://schemas.microsoft.com/office/drawing/2014/main" id="{8B35A339-B7F3-0FF0-17B1-611D53BA1888}"/>
            </a:ext>
          </a:extLst>
        </xdr:cNvPr>
        <xdr:cNvSpPr/>
      </xdr:nvSpPr>
      <xdr:spPr>
        <a:xfrm>
          <a:off x="6542582" y="1623935"/>
          <a:ext cx="1233565" cy="577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DB671CC-799C-4F80-83A1-AC0B6E71E8F6}" type="TxLink">
            <a:rPr lang="en-US" sz="2000" b="0" i="0" u="none" strike="noStrike">
              <a:solidFill>
                <a:srgbClr val="6F4E37"/>
              </a:solidFill>
              <a:latin typeface="Arial" panose="020B0604020202020204" pitchFamily="34" charset="0"/>
              <a:ea typeface="Calibri"/>
              <a:cs typeface="Arial" panose="020B0604020202020204" pitchFamily="34" charset="0"/>
            </a:rPr>
            <a:pPr algn="l"/>
            <a:t>$380</a:t>
          </a:fld>
          <a:endParaRPr lang="en-US" sz="2000">
            <a:solidFill>
              <a:srgbClr val="6F4E37"/>
            </a:solidFill>
            <a:latin typeface="Arial" panose="020B0604020202020204" pitchFamily="34" charset="0"/>
            <a:cs typeface="Arial" panose="020B06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21874998" backgroundQuery="1" createdVersion="8" refreshedVersion="8" minRefreshableVersion="3" recordCount="0" supportSubquery="1" supportAdvancedDrill="1" xr:uid="{65599BA7-F24E-4DAB-9CF6-2B7AC8F4AC38}">
  <cacheSource type="external" connectionId="1"/>
  <cacheFields count="5">
    <cacheField name="[Table3].[Customer Name].[Customer Name]" caption="Customer Name" numFmtId="0" hierarchy="7" level="1">
      <sharedItems count="10">
        <s v="Adrian Swaine"/>
        <s v="Derick Snow"/>
        <s v="Foster Constance"/>
        <s v="Nealson Cuttler"/>
        <s v="Orazio Comber"/>
        <s v="Ailey Brash" u="1"/>
        <s v="Aloisia Allner" u="1"/>
        <s v="Brenn Dundredge" u="1"/>
        <s v="Gladi Ducker" u="1"/>
        <s v="Rafferty Pursglove" u="1"/>
      </sharedItems>
    </cacheField>
    <cacheField name="[Measures].[Sum of Quantity]" caption="Sum of Quantity" numFmtId="0" hierarchy="28" level="32767"/>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2"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3"/>
      </fieldsUsage>
    </cacheHierarchy>
    <cacheHierarchy uniqueName="[Table3].[Months]" caption="Months" attribute="1" defaultMemberUniqueName="[Table3].[Months].[All]" allUniqueName="[Table3].[Months].[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Quantity]" caption="Quantity" attribute="1" defaultMemberUniqueName="[Table3].[Quantity].[All]" allUniqueName="[Table3].[Quantity].[All]" dimensionUniqueName="[Table3]" displayFolder="" count="2" memberValueDatatype="20" unbalanced="0"/>
    <cacheHierarchy uniqueName="[Table3].[Customer Name]" caption="Customer Name" attribute="1" defaultMemberUniqueName="[Table3].[Customer Name].[All]" allUniqueName="[Table3].[Customer Name].[All]" dimensionUniqueName="[Table3]" displayFolder="" count="2" memberValueDatatype="130" unbalanced="0">
      <fieldsUsage count="2">
        <fieldUsage x="-1"/>
        <fieldUsage x="0"/>
      </fieldsUsage>
    </cacheHierarchy>
    <cacheHierarchy uniqueName="[Table3].[Country]" caption="Country" attribute="1" defaultMemberUniqueName="[Table3].[Country].[All]" allUniqueName="[Table3].[Country].[All]" dimensionUniqueName="[Table3]" displayFolder="" count="2" memberValueDatatype="130" unbalanced="0">
      <fieldsUsage count="2">
        <fieldUsage x="-1"/>
        <fieldUsage x="2"/>
      </fieldsUsage>
    </cacheHierarchy>
    <cacheHierarchy uniqueName="[Table3].[City]" caption="City" attribute="1" defaultMemberUniqueName="[Table3].[City].[All]" allUniqueName="[Table3].[City].[All]" dimensionUniqueName="[Table3]" displayFolder="" count="2"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4"/>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2" memberValueDatatype="5" unbalanced="0"/>
    <cacheHierarchy uniqueName="[Table3].[Unit Price]" caption="Unit Price" attribute="1" defaultMemberUniqueName="[Table3].[Unit Price].[All]" allUniqueName="[Table3].[Unit Price].[All]" dimensionUniqueName="[Table3]" displayFolder="" count="2" memberValueDatatype="5" unbalanced="0"/>
    <cacheHierarchy uniqueName="[Table3].[Price per 100g]" caption="Price per 100g" attribute="1" defaultMemberUniqueName="[Table3].[Price per 100g].[All]" allUniqueName="[Table3].[Price per 100g].[All]" dimensionUniqueName="[Table3]" displayFolder="" count="2" memberValueDatatype="5" unbalanced="0"/>
    <cacheHierarchy uniqueName="[Table3].[Profit]" caption="Profit" attribute="1" defaultMemberUniqueName="[Table3].[Profit].[All]" allUniqueName="[Table3].[Profit].[All]" dimensionUniqueName="[Table3]" displayFolder="" count="2" memberValueDatatype="5" unbalanced="0"/>
    <cacheHierarchy uniqueName="[Table3].[Sales]" caption="Sales" attribute="1" defaultMemberUniqueName="[Table3].[Sales].[All]" allUniqueName="[Table3].[Sales].[All]" dimensionUniqueName="[Table3]" displayFolder="" count="2" memberValueDatatype="5" unbalanced="0"/>
    <cacheHierarchy uniqueName="[Table3].[Order Date (Year)]" caption="Order Date (Year)" attribute="1" defaultMemberUniqueName="[Table3].[Order Date (Year)].[All]" allUniqueName="[Table3].[Order Date (Year)].[All]" dimensionUniqueName="[Table3]" displayFolder="" count="2"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2" memberValueDatatype="130" unbalanced="0"/>
    <cacheHierarchy uniqueName="[Table3].[Order Date (Month Index)]" caption="Order Date (Month Index)" attribute="1" defaultMemberUniqueName="[Table3].[Order Date (Month Index)].[All]" allUniqueName="[Table3].[Order Date (Month Index)].[All]" dimensionUniqueName="[Table3]" displayFolder="" count="2"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23842592" backgroundQuery="1" createdVersion="8" refreshedVersion="8" minRefreshableVersion="3" recordCount="0" supportSubquery="1" supportAdvancedDrill="1" xr:uid="{DE035A7F-DD40-4D39-82D9-E33D25AB1B63}">
  <cacheSource type="external" connectionId="1"/>
  <cacheFields count="8">
    <cacheField name="[Measures].[Count of Order ID]" caption="Count of Order ID" numFmtId="0" hierarchy="24" level="32767"/>
    <cacheField name="[Measures].[Sum of Profit]" caption="Sum of Profit" numFmtId="0" hierarchy="26" level="32767"/>
    <cacheField name="[Measures].[Distinct Count of Customer ID]" caption="Distinct Count of Customer ID" numFmtId="0" hierarchy="27" level="32767"/>
    <cacheField name="[Measures].[Sum of Quantity]" caption="Sum of Quantity" numFmtId="0" hierarchy="28" level="32767"/>
    <cacheField name="[Measures].[Sum of Sales]" caption="Sum of Sales" numFmtId="0" hierarchy="29" level="32767"/>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6"/>
      </fieldsUsage>
    </cacheHierarchy>
    <cacheHierarchy uniqueName="[Table3].[Months]" caption="Months" attribute="1" defaultMemberUniqueName="[Table3].[Months].[All]" allUniqueName="[Table3].[Months].[All]" dimensionUniqueName="[Table3]"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5"/>
      </fieldsUsage>
    </cacheHierarchy>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7"/>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oneField="1" hidden="1">
      <fieldsUsage count="1">
        <fieldUsage x="4"/>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25115739" backgroundQuery="1" createdVersion="8" refreshedVersion="8" minRefreshableVersion="3" recordCount="0" supportSubquery="1" supportAdvancedDrill="1" xr:uid="{CDF8A831-8785-425F-99FB-77E48B6214D0}">
  <cacheSource type="external" connectionId="1"/>
  <cacheFields count="5">
    <cacheField name="[Table3].[Size].[Size]" caption="Size" numFmtId="0" hierarchy="13" level="1">
      <sharedItems containsSemiMixedTypes="0" containsString="0" containsNumber="1" minValue="0.2" maxValue="2.5" count="4">
        <n v="0.2"/>
        <n v="0.5"/>
        <n v="1"/>
        <n v="2.5"/>
      </sharedItems>
    </cacheField>
    <cacheField name="[Measures].[Sum of Profit]" caption="Sum of Profit" numFmtId="0" hierarchy="26" level="32767"/>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2"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3"/>
      </fieldsUsage>
    </cacheHierarchy>
    <cacheHierarchy uniqueName="[Table3].[Months]" caption="Months" attribute="1" defaultMemberUniqueName="[Table3].[Months].[All]" allUniqueName="[Table3].[Months].[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Quantity]" caption="Quantity" attribute="1" defaultMemberUniqueName="[Table3].[Quantity].[All]" allUniqueName="[Table3].[Quantity].[All]" dimensionUniqueName="[Table3]" displayFolder="" count="2" memberValueDatatype="20" unbalanced="0"/>
    <cacheHierarchy uniqueName="[Table3].[Customer Name]" caption="Customer Name" attribute="1" defaultMemberUniqueName="[Table3].[Customer Name].[All]" allUniqueName="[Table3].[Customer Name].[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2"/>
      </fieldsUsage>
    </cacheHierarchy>
    <cacheHierarchy uniqueName="[Table3].[City]" caption="City" attribute="1" defaultMemberUniqueName="[Table3].[City].[All]" allUniqueName="[Table3].[City].[All]" dimensionUniqueName="[Table3]" displayFolder="" count="2"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4"/>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2" memberValueDatatype="5" unbalanced="0">
      <fieldsUsage count="2">
        <fieldUsage x="-1"/>
        <fieldUsage x="0"/>
      </fieldsUsage>
    </cacheHierarchy>
    <cacheHierarchy uniqueName="[Table3].[Unit Price]" caption="Unit Price" attribute="1" defaultMemberUniqueName="[Table3].[Unit Price].[All]" allUniqueName="[Table3].[Unit Price].[All]" dimensionUniqueName="[Table3]" displayFolder="" count="2" memberValueDatatype="5" unbalanced="0"/>
    <cacheHierarchy uniqueName="[Table3].[Price per 100g]" caption="Price per 100g" attribute="1" defaultMemberUniqueName="[Table3].[Price per 100g].[All]" allUniqueName="[Table3].[Price per 100g].[All]" dimensionUniqueName="[Table3]" displayFolder="" count="2" memberValueDatatype="5" unbalanced="0"/>
    <cacheHierarchy uniqueName="[Table3].[Profit]" caption="Profit" attribute="1" defaultMemberUniqueName="[Table3].[Profit].[All]" allUniqueName="[Table3].[Profit].[All]" dimensionUniqueName="[Table3]" displayFolder="" count="2" memberValueDatatype="5" unbalanced="0"/>
    <cacheHierarchy uniqueName="[Table3].[Sales]" caption="Sales" attribute="1" defaultMemberUniqueName="[Table3].[Sales].[All]" allUniqueName="[Table3].[Sales].[All]" dimensionUniqueName="[Table3]" displayFolder="" count="2" memberValueDatatype="5" unbalanced="0"/>
    <cacheHierarchy uniqueName="[Table3].[Order Date (Year)]" caption="Order Date (Year)" attribute="1" defaultMemberUniqueName="[Table3].[Order Date (Year)].[All]" allUniqueName="[Table3].[Order Date (Year)].[All]" dimensionUniqueName="[Table3]" displayFolder="" count="2"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2" memberValueDatatype="130" unbalanced="0"/>
    <cacheHierarchy uniqueName="[Table3].[Order Date (Month Index)]" caption="Order Date (Month Index)" attribute="1" defaultMemberUniqueName="[Table3].[Order Date (Month Index)].[All]" allUniqueName="[Table3].[Order Date (Month Index)].[All]" dimensionUniqueName="[Table3]" displayFolder="" count="2"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26851855" backgroundQuery="1" createdVersion="8" refreshedVersion="8" minRefreshableVersion="3" recordCount="0" supportSubquery="1" supportAdvancedDrill="1" xr:uid="{DFA2F030-7D9C-47A6-BAF3-3013E4BF4CF6}">
  <cacheSource type="external" connectionId="1"/>
  <cacheFields count="5">
    <cacheField name="[Table3].[Months].[Months]" caption="Months" numFmtId="0" hierarchy="3" level="1">
      <sharedItems count="12">
        <s v="April"/>
        <s v="August"/>
        <s v="December"/>
        <s v="February"/>
        <s v="January"/>
        <s v="July"/>
        <s v="June"/>
        <s v="March"/>
        <s v="May"/>
        <s v="November"/>
        <s v="October"/>
        <s v="September"/>
      </sharedItems>
    </cacheField>
    <cacheField name="[Measures].[Sum of Profit]" caption="Sum of Profit" numFmtId="0" hierarchy="26" level="32767"/>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3"/>
      </fieldsUsage>
    </cacheHierarchy>
    <cacheHierarchy uniqueName="[Table3].[Months]" caption="Months" attribute="1" defaultMemberUniqueName="[Table3].[Months].[All]" allUniqueName="[Table3].[Months].[All]" dimensionUniqueName="[Table3]" displayFolder="" count="2" memberValueDatatype="130" unbalanced="0">
      <fieldsUsage count="2">
        <fieldUsage x="-1"/>
        <fieldUsage x="0"/>
      </fieldsUsage>
    </cacheHierarchy>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2"/>
      </fieldsUsage>
    </cacheHierarchy>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4"/>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28356479" backgroundQuery="1" createdVersion="8" refreshedVersion="8" minRefreshableVersion="3" recordCount="0" supportSubquery="1" supportAdvancedDrill="1" xr:uid="{34707A71-3A04-491D-86E8-C83D28B5F660}">
  <cacheSource type="external" connectionId="1"/>
  <cacheFields count="6">
    <cacheField name="[Table3].[Months].[Months]" caption="Months" numFmtId="0" hierarchy="3" level="1">
      <sharedItems count="12">
        <s v="April"/>
        <s v="August"/>
        <s v="December"/>
        <s v="February"/>
        <s v="January"/>
        <s v="July"/>
        <s v="June"/>
        <s v="March"/>
        <s v="May"/>
        <s v="November"/>
        <s v="October"/>
        <s v="September"/>
      </sharedItems>
    </cacheField>
    <cacheField name="[Table3].[Order Date (Quarter)].[Order Date (Quarter)]" caption="Order Date (Quarter)" numFmtId="0" hierarchy="19" level="1">
      <sharedItems count="4">
        <s v="Qtr1"/>
        <s v="Qtr2"/>
        <s v="Qtr3"/>
        <s v="Qtr4"/>
      </sharedItems>
    </cacheField>
    <cacheField name="[Measures].[Sum of Unit Price]" caption="Sum of Unit Price" numFmtId="0" hierarchy="32" level="32767"/>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4"/>
      </fieldsUsage>
    </cacheHierarchy>
    <cacheHierarchy uniqueName="[Table3].[Months]" caption="Months" attribute="1" defaultMemberUniqueName="[Table3].[Months].[All]" allUniqueName="[Table3].[Months].[All]" dimensionUniqueName="[Table3]" displayFolder="" count="2" memberValueDatatype="130" unbalanced="0">
      <fieldsUsage count="2">
        <fieldUsage x="-1"/>
        <fieldUsage x="0"/>
      </fieldsUsage>
    </cacheHierarchy>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3"/>
      </fieldsUsage>
    </cacheHierarchy>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5"/>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fieldsUsage count="2">
        <fieldUsage x="-1"/>
        <fieldUsage x="1"/>
      </fieldsUsage>
    </cacheHierarchy>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30092596" backgroundQuery="1" createdVersion="8" refreshedVersion="8" minRefreshableVersion="3" recordCount="0" supportSubquery="1" supportAdvancedDrill="1" xr:uid="{BAA74B00-6499-4E98-B106-95522CB0B402}">
  <cacheSource type="external" connectionId="1"/>
  <cacheFields count="6">
    <cacheField name="[Table3].[Months].[Months]" caption="Months" numFmtId="0" hierarchy="3" level="1">
      <sharedItems count="12">
        <s v="April"/>
        <s v="August"/>
        <s v="December"/>
        <s v="February"/>
        <s v="January"/>
        <s v="July"/>
        <s v="June"/>
        <s v="March"/>
        <s v="May"/>
        <s v="November"/>
        <s v="October"/>
        <s v="September"/>
      </sharedItems>
    </cacheField>
    <cacheField name="[Measures].[Sum of Sales]" caption="Sum of Sales" numFmtId="0" hierarchy="29" level="32767"/>
    <cacheField name="[Table3].[Size].[Size]" caption="Size" numFmtId="0" hierarchy="13" level="1">
      <sharedItems containsSemiMixedTypes="0" containsString="0" containsNumber="1" minValue="0.2" maxValue="2.5" count="4">
        <n v="0.2"/>
        <n v="0.5"/>
        <n v="1"/>
        <n v="2.5"/>
      </sharedItems>
    </cacheField>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4"/>
      </fieldsUsage>
    </cacheHierarchy>
    <cacheHierarchy uniqueName="[Table3].[Months]" caption="Months" attribute="1" defaultMemberUniqueName="[Table3].[Months].[All]" allUniqueName="[Table3].[Months].[All]" dimensionUniqueName="[Table3]" displayFolder="" count="2" memberValueDatatype="130" unbalanced="0">
      <fieldsUsage count="2">
        <fieldUsage x="-1"/>
        <fieldUsage x="0"/>
      </fieldsUsage>
    </cacheHierarchy>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3"/>
      </fieldsUsage>
    </cacheHierarchy>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5"/>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2" memberValueDatatype="5" unbalanced="0">
      <fieldsUsage count="2">
        <fieldUsage x="-1"/>
        <fieldUsage x="2"/>
      </fieldsUsage>
    </cacheHierarchy>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2"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3101852" backgroundQuery="1" createdVersion="8" refreshedVersion="8" minRefreshableVersion="3" recordCount="0" supportSubquery="1" supportAdvancedDrill="1" xr:uid="{D371BD0A-BDC2-4433-A82D-56FDE3EA442C}">
  <cacheSource type="external" connectionId="1"/>
  <cacheFields count="4">
    <cacheField name="[Measures].[Sum of Sales]" caption="Sum of Sales" numFmtId="0" hierarchy="29" level="32767"/>
    <cacheField name="[Table3].[Country].[Country]" caption="Country" numFmtId="0" hierarchy="8" level="1">
      <sharedItems containsSemiMixedTypes="0" containsNonDate="0" containsString="0"/>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2"/>
      </fieldsUsage>
    </cacheHierarchy>
    <cacheHierarchy uniqueName="[Table3].[Months]" caption="Months" attribute="1" defaultMemberUniqueName="[Table3].[Months].[All]" allUniqueName="[Table3].[Months].[All]" dimensionUniqueName="[Table3]"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3"/>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6061.053932060182" backgroundQuery="1" createdVersion="8" refreshedVersion="8" minRefreshableVersion="3" recordCount="0" supportSubquery="1" supportAdvancedDrill="1" xr:uid="{59447690-E94D-4057-AC65-9F71D59FD121}">
  <cacheSource type="external" connectionId="1"/>
  <cacheFields count="4">
    <cacheField name="[Measures].[Sum of Sales]" caption="Sum of Sales" numFmtId="0" hierarchy="29" level="32767"/>
    <cacheField name="[Table3].[Country].[Country]" caption="Country" numFmtId="0" hierarchy="8" level="1">
      <sharedItems count="3">
        <s v="Ireland"/>
        <s v="United Kingdom"/>
        <s v="United State"/>
      </sharedItems>
    </cacheField>
    <cacheField name="[Table3].[Year].[Year]" caption="Year" numFmtId="0" hierarchy="2" level="1">
      <sharedItems containsSemiMixedTypes="0" containsNonDate="0" containsString="0"/>
    </cacheField>
    <cacheField name="[Table3].[Loyalty Card].[Loyalty Card]" caption="Loyalty Card" numFmtId="0" hierarchy="10" level="1">
      <sharedItems containsSemiMixedTypes="0" containsNonDate="0" containsString="0"/>
    </cacheField>
  </cacheFields>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2" memberValueDatatype="130" unbalanced="0">
      <fieldsUsage count="2">
        <fieldUsage x="-1"/>
        <fieldUsage x="2"/>
      </fieldsUsage>
    </cacheHierarchy>
    <cacheHierarchy uniqueName="[Table3].[Months]" caption="Months" attribute="1" defaultMemberUniqueName="[Table3].[Months].[All]" allUniqueName="[Table3].[Months].[All]" dimensionUniqueName="[Table3]"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fieldsUsage count="2">
        <fieldUsage x="-1"/>
        <fieldUsage x="3"/>
      </fieldsUsage>
    </cacheHierarchy>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5903.659891087962" backgroundQuery="1" createdVersion="3" refreshedVersion="8" minRefreshableVersion="3" recordCount="0" supportSubquery="1" supportAdvancedDrill="1" xr:uid="{7FD698A0-9CB2-476A-89AB-26B1BD6C6253}">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0" memberValueDatatype="7" unbalanced="0"/>
    <cacheHierarchy uniqueName="[Table3].[Year]" caption="Year" attribute="1" defaultMemberUniqueName="[Table3].[Year].[All]" allUniqueName="[Table3].[Year].[All]" dimensionUniqueName="[Table3]" displayFolder="" count="2" memberValueDatatype="130" unbalanced="0"/>
    <cacheHierarchy uniqueName="[Table3].[Months]" caption="Months" attribute="1" defaultMemberUniqueName="[Table3].[Months].[All]" allUniqueName="[Table3].[Months].[All]" dimensionUniqueName="[Table3]"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cacheHierarchy uniqueName="[Table3].[Coffee_Type]" caption="Coffee_Type" attribute="1" defaultMemberUniqueName="[Table3].[Coffee_Type].[All]" allUniqueName="[Table3].[Coffee_Type].[All]" dimensionUniqueName="[Table3]" displayFolder="" count="2" memberValueDatatype="130" unbalanced="0"/>
    <cacheHierarchy uniqueName="[Table3].[Roast_Type]" caption="Roast_Type" attribute="1" defaultMemberUniqueName="[Table3].[Roast_Type].[All]" allUniqueName="[Table3].[Roast_Type].[All]" dimensionUniqueName="[Table3]" displayFolder="" count="2"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2"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6861494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5903.690218981479" backgroundQuery="1" createdVersion="3" refreshedVersion="8" minRefreshableVersion="3" recordCount="0" supportSubquery="1" supportAdvancedDrill="1" xr:uid="{D3A9D03E-F059-4D9E-A56D-A83EE71ABB7A}">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0" memberValueDatatype="7" unbalanced="0"/>
    <cacheHierarchy uniqueName="[Table3].[Year]" caption="Year" attribute="1" defaultMemberUniqueName="[Table3].[Year].[All]" allUniqueName="[Table3].[Year].[All]" dimensionUniqueName="[Table3]" displayFolder="" count="0" memberValueDatatype="130" unbalanced="0"/>
    <cacheHierarchy uniqueName="[Table3].[Months]" caption="Months" attribute="1" defaultMemberUniqueName="[Table3].[Months].[All]" allUniqueName="[Table3].[Months].[All]" dimensionUniqueName="[Table3]"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2" memberValueDatatype="130" unbalanced="0"/>
    <cacheHierarchy uniqueName="[Table3].[Coffee_Type]" caption="Coffee_Type" attribute="1" defaultMemberUniqueName="[Table3].[Coffee_Type].[All]" allUniqueName="[Table3].[Coffee_Type].[All]" dimensionUniqueName="[Table3]" displayFolder="" count="0" memberValueDatatype="130" unbalanced="0"/>
    <cacheHierarchy uniqueName="[Table3].[Roast_Type]" caption="Roast_Type" attribute="1" defaultMemberUniqueName="[Table3].[Roast_Type].[All]" allUniqueName="[Table3].[Roast_Type].[All]" dimensionUniqueName="[Table3]" displayFolder="" count="0"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0"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4761074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walayo" refreshedDate="45903.689281828701" backgroundQuery="1" createdVersion="3" refreshedVersion="8" minRefreshableVersion="3" recordCount="0" supportSubquery="1" supportAdvancedDrill="1" xr:uid="{055F9BDD-E9C9-4BE5-8F35-0911CBEB38A2}">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Year]" caption="Year" attribute="1" defaultMemberUniqueName="[Table3].[Year].[All]" allUniqueName="[Table3].[Year].[All]" dimensionUniqueName="[Table3]" displayFolder="" count="0" memberValueDatatype="130" unbalanced="0"/>
    <cacheHierarchy uniqueName="[Table3].[Months]" caption="Months" attribute="1" defaultMemberUniqueName="[Table3].[Months].[All]" allUniqueName="[Table3].[Months].[All]" dimensionUniqueName="[Table3]"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Loyalty Card]" caption="Loyalty Card" attribute="1" defaultMemberUniqueName="[Table3].[Loyalty Card].[All]" allUniqueName="[Table3].[Loyalty Card].[All]" dimensionUniqueName="[Table3]" displayFolder="" count="0" memberValueDatatype="130" unbalanced="0"/>
    <cacheHierarchy uniqueName="[Table3].[Coffee_Type]" caption="Coffee_Type" attribute="1" defaultMemberUniqueName="[Table3].[Coffee_Type].[All]" allUniqueName="[Table3].[Coffee_Type].[All]" dimensionUniqueName="[Table3]" displayFolder="" count="0" memberValueDatatype="130" unbalanced="0"/>
    <cacheHierarchy uniqueName="[Table3].[Roast_Type]" caption="Roast_Type" attribute="1" defaultMemberUniqueName="[Table3].[Roast_Type].[All]" allUniqueName="[Table3].[Roast_Type].[All]" dimensionUniqueName="[Table3]" displayFolder="" count="0"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Price per 100g]" caption="Price per 100g" attribute="1" defaultMemberUniqueName="[Table3].[Price per 100g].[All]" allUniqueName="[Table3].[Price per 100g].[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Order Date (Year)]" caption="Order Date (Year)" attribute="1" defaultMemberUniqueName="[Table3].[Order Date (Year)].[All]" allUniqueName="[Table3].[Order Date (Year)].[All]" dimensionUniqueName="[Table3]" displayFolder="" count="0" memberValueDatatype="130" unbalanced="0"/>
    <cacheHierarchy uniqueName="[Table3].[Order Date (Quarter)]" caption="Order Date (Quarter)" attribute="1" defaultMemberUniqueName="[Table3].[Order Date (Quarter)].[All]" allUniqueName="[Table3].[Order Date (Quarter)].[All]" dimensionUniqueName="[Table3]" displayFolder="" count="0" memberValueDatatype="130" unbalanced="0"/>
    <cacheHierarchy uniqueName="[Table3].[Order Date (Month)]" caption="Order Date (Month)" attribute="1" defaultMemberUniqueName="[Table3].[Order Date (Month)].[All]" allUniqueName="[Table3].[Order Date (Month)].[All]" dimensionUniqueName="[Table3]" displayFolder="" count="0" memberValueDatatype="130" unbalanced="0"/>
    <cacheHierarchy uniqueName="[Table3].[Order Date (Month Index)]" caption="Order Date (Month Index)" attribute="1" defaultMemberUniqueName="[Table3].[Order Date (Month Index)].[All]" allUniqueName="[Table3].[Order 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3"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Table3"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3"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3"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4044322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37EAC-8CAB-4E73-A888-4FF7E92EE402}" name="PivotTable5" cacheId="24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8:B33"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formats count="2">
    <format dxfId="11">
      <pivotArea outline="0" collapsedLevelsAreSubtotals="1" fieldPosition="0"/>
    </format>
    <format dxfId="10">
      <pivotArea dataOnly="0" labelOnly="1" outline="0" axis="axisValues" fieldPosition="0"/>
    </format>
  </formats>
  <chartFormats count="3">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37401-07F1-4AE2-8301-D19A1E984E3B}" name="PivotTable1" cacheId="26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20:B24" firstHeaderRow="1" firstDataRow="1" firstDataCol="1"/>
  <pivotFields count="4">
    <pivotField dataField="1" subtotalTop="0" showAll="0" defaultSubtotal="0"/>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Sales" fld="0" baseField="0" baseItem="0" numFmtId="166"/>
  </dataFields>
  <formats count="2">
    <format dxfId="13">
      <pivotArea dataOnly="0" labelOnly="1" outline="0" axis="axisValues" fieldPosition="0"/>
    </format>
    <format dxfId="1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2"/>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837CB-8955-4696-A920-2DAD62350CB7}" name="PivotTable7" cacheId="25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location ref="A51:B56"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Unit Price" fld="2" baseField="0" baseItem="0" numFmtId="166"/>
  </dataFields>
  <formats count="1">
    <format dxfId="14">
      <pivotArea outline="0" collapsedLevelsAreSubtotals="1" fieldPosition="0"/>
    </format>
  </formats>
  <chartFormats count="2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3"/>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 count="1" selected="0">
            <x v="0"/>
          </reference>
        </references>
      </pivotArea>
    </chartFormat>
    <chartFormat chart="12" format="7">
      <pivotArea type="data" outline="0" fieldPosition="0">
        <references count="2">
          <reference field="4294967294" count="1" selected="0">
            <x v="0"/>
          </reference>
          <reference field="1" count="1" selected="0">
            <x v="1"/>
          </reference>
        </references>
      </pivotArea>
    </chartFormat>
    <chartFormat chart="12" format="8">
      <pivotArea type="data" outline="0" fieldPosition="0">
        <references count="2">
          <reference field="4294967294" count="1" selected="0">
            <x v="0"/>
          </reference>
          <reference field="1" count="1" selected="0">
            <x v="2"/>
          </reference>
        </references>
      </pivotArea>
    </chartFormat>
    <chartFormat chart="12" format="9">
      <pivotArea type="data" outline="0" fieldPosition="0">
        <references count="2">
          <reference field="4294967294" count="1" selected="0">
            <x v="0"/>
          </reference>
          <reference field="1"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4" format="3">
      <pivotArea type="data" outline="0" fieldPosition="0">
        <references count="2">
          <reference field="4294967294" count="1" selected="0">
            <x v="0"/>
          </reference>
          <reference field="1" count="1" selected="0">
            <x v="3"/>
          </reference>
        </references>
      </pivotArea>
    </chartFormat>
    <chartFormat chart="14" format="4">
      <pivotArea type="data" outline="0" fieldPosition="0">
        <references count="2">
          <reference field="4294967294" count="1" selected="0">
            <x v="0"/>
          </reference>
          <reference field="1" count="1" selected="0">
            <x v="2"/>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 count="1" selected="0">
            <x v="0"/>
          </reference>
        </references>
      </pivotArea>
    </chartFormat>
    <chartFormat chart="19" format="12">
      <pivotArea type="data" outline="0" fieldPosition="0">
        <references count="2">
          <reference field="4294967294" count="1" selected="0">
            <x v="0"/>
          </reference>
          <reference field="1" count="1" selected="0">
            <x v="1"/>
          </reference>
        </references>
      </pivotArea>
    </chartFormat>
    <chartFormat chart="19" format="13">
      <pivotArea type="data" outline="0" fieldPosition="0">
        <references count="2">
          <reference field="4294967294" count="1" selected="0">
            <x v="0"/>
          </reference>
          <reference field="1" count="1" selected="0">
            <x v="2"/>
          </reference>
        </references>
      </pivotArea>
    </chartFormat>
    <chartFormat chart="19" format="14">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caption="Average of Sales"/>
    <pivotHierarchy dragToData="1" caption="Max of Sales"/>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0D143E-F770-4D83-9A81-D28306055EB3}" name="PivotTable2" cacheId="2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E3"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 ID" fld="0" subtotal="count" baseField="0" baseItem="0" numFmtId="164"/>
    <dataField name="Sum of Quantity" fld="3" baseField="0" baseItem="0" numFmtId="166"/>
    <dataField name="Sum of Profit" fld="1" baseField="0" baseItem="0" numFmtId="166"/>
    <dataField name="Distinct Count of Customer ID" fld="2" subtotal="count" baseField="0" baseItem="0">
      <extLst>
        <ext xmlns:x15="http://schemas.microsoft.com/office/spreadsheetml/2010/11/main" uri="{FABC7310-3BB5-11E1-824E-6D434824019B}">
          <x15:dataField isCountDistinct="1"/>
        </ext>
      </extLst>
    </dataField>
    <dataField name="Sum of Sales" fld="4" baseField="0" baseItem="0" numFmtId="166"/>
  </dataFields>
  <formats count="4">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4"/>
          </reference>
        </references>
      </pivotArea>
    </format>
    <format dxfId="15">
      <pivotArea outline="0" collapsedLevelsAreSubtotals="1" fieldPosition="0">
        <references count="1">
          <reference field="4294967294" count="1" selected="0">
            <x v="2"/>
          </reference>
        </references>
      </pivotArea>
    </format>
  </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63BF59-446C-4C72-9715-3E05EFDC1BA7}" name="PivotTable9" cacheId="26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37:D1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showDataAs="percentOfTotal" baseField="0" baseItem="0" numFmtId="10"/>
  </dataFields>
  <formats count="2">
    <format dxfId="20">
      <pivotArea outline="0" collapsedLevelsAreSubtotals="1" fieldPosition="0">
        <references count="1">
          <reference field="4294967294" count="1" selected="0">
            <x v="0"/>
          </reference>
        </references>
      </pivotArea>
    </format>
    <format dxfId="19">
      <pivotArea outline="0" fieldPosition="0">
        <references count="1">
          <reference field="4294967294" count="1">
            <x v="0"/>
          </reference>
        </references>
      </pivotArea>
    </format>
  </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648133-4857-48D6-8C2D-6F91A51C2B18}" name="PivotTable3" cacheId="2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0:B16" firstHeaderRow="1" firstDataRow="1" firstDataCol="1"/>
  <pivotFields count="5">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1"/>
    </i>
    <i>
      <x v="4"/>
    </i>
    <i>
      <x/>
    </i>
    <i>
      <x v="3"/>
    </i>
    <i t="grand">
      <x/>
    </i>
  </rowItems>
  <colItems count="1">
    <i/>
  </colItems>
  <dataFields count="1">
    <dataField name="Sum of Quantity" fld="1"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8"/>
          </reference>
        </references>
      </pivotArea>
    </chartFormat>
    <chartFormat chart="6" format="4">
      <pivotArea type="data" outline="0" fieldPosition="0">
        <references count="2">
          <reference field="4294967294" count="1" selected="0">
            <x v="0"/>
          </reference>
          <reference field="0" count="1" selected="0">
            <x v="5"/>
          </reference>
        </references>
      </pivotArea>
    </chartFormat>
    <chartFormat chart="6" format="5">
      <pivotArea type="data" outline="0" fieldPosition="0">
        <references count="2">
          <reference field="4294967294" count="1" selected="0">
            <x v="0"/>
          </reference>
          <reference field="0" count="1" selected="0">
            <x v="7"/>
          </reference>
        </references>
      </pivotArea>
    </chartFormat>
    <chartFormat chart="6" format="6">
      <pivotArea type="data" outline="0" fieldPosition="0">
        <references count="2">
          <reference field="4294967294" count="1" selected="0">
            <x v="0"/>
          </reference>
          <reference field="0" count="1" selected="0">
            <x v="9"/>
          </reference>
        </references>
      </pivotArea>
    </chartFormat>
    <chartFormat chart="6" format="7">
      <pivotArea type="data" outline="0" fieldPosition="0">
        <references count="2">
          <reference field="4294967294" count="1" selected="0">
            <x v="0"/>
          </reference>
          <reference field="0" count="1" selected="0">
            <x v="6"/>
          </reference>
        </references>
      </pivotArea>
    </chartFormat>
  </chart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70F34-DF07-4DD6-97A6-59F9362A0581}" name="PivotTable8" cacheId="25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136:B14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1" showDataAs="percentOfTotal" baseField="0" baseItem="0" numFmtId="10"/>
  </dataFields>
  <formats count="3">
    <format dxfId="23">
      <pivotArea dataOnly="0" labelOnly="1" outline="0" axis="axisValues" fieldPosition="0"/>
    </format>
    <format dxfId="22">
      <pivotArea outline="0" collapsedLevelsAreSubtotals="1" fieldPosition="0"/>
    </format>
    <format dxfId="21">
      <pivotArea outline="0" fieldPosition="0">
        <references count="1">
          <reference field="4294967294" count="1">
            <x v="0"/>
          </reference>
        </references>
      </pivotArea>
    </format>
  </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caption="Average of Sales"/>
    <pivotHierarchy dragToData="1" caption="Max of Sales"/>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9CB755-D944-44E9-8BEF-2FF34FB3ECFE}" name="PivotTable6" cacheId="25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A36:B49" firstHeaderRow="1"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formats count="2">
    <format dxfId="25">
      <pivotArea dataOnly="0" labelOnly="1" outline="0" axis="axisValues" fieldPosition="0"/>
    </format>
    <format dxfId="24">
      <pivotArea outline="0" collapsedLevelsAreSubtotals="1" fieldPosition="0"/>
    </format>
  </formats>
  <chartFormats count="3">
    <chartFormat chart="1"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members count="1" level="1">
        <member name="[Table3].[Year].&amp;[2021]"/>
      </members>
    </pivotHierarchy>
    <pivotHierarchy dragToData="1"/>
    <pivotHierarchy dragToData="1"/>
    <pivotHierarchy dragToData="1"/>
    <pivotHierarchy dragToData="1"/>
    <pivotHierarchy dragToData="1"/>
    <pivotHierarchy multipleItemSelectionAllowed="1" dragToData="1">
      <members count="2" level="1">
        <member name="[Table3].[Country].&amp;[United Kingdom]"/>
        <member name="[Table3].[Country].&amp;[United State]"/>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caption="Average of Sales"/>
    <pivotHierarchy dragToData="1" caption="Max of Sales"/>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_sal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B78163B0-2D61-47AD-9B61-9A4048BE3D17}" sourceName="[Table3].[Coffee_Type]">
  <pivotTables>
    <pivotTable tabId="5" name="PivotTable5"/>
    <pivotTable tabId="5" name="PivotTable2"/>
    <pivotTable tabId="5" name="PivotTable3"/>
    <pivotTable tabId="5" name="PivotTable6"/>
    <pivotTable tabId="5" name="PivotTable7"/>
    <pivotTable tabId="5" name="PivotTable8"/>
    <pivotTable tabId="5" name="PivotTable9"/>
    <pivotTable tabId="5" name="PivotTable1"/>
  </pivotTables>
  <data>
    <olap pivotCacheId="1068614942">
      <levels count="2">
        <level uniqueName="[Table3].[Coffee_Type].[(All)]" sourceCaption="(All)" count="0"/>
        <level uniqueName="[Table3].[Coffee_Type].[Coffee_Type]" sourceCaption="Coffee_Type" count="4">
          <ranges>
            <range startItem="0">
              <i n="[Table3].[Coffee_Type].&amp;[Arabia]" c="Arabia"/>
              <i n="[Table3].[Coffee_Type].&amp;[Excelia]" c="Excelia"/>
              <i n="[Table3].[Coffee_Type].&amp;[Liberia]" c="Liberia"/>
              <i n="[Table3].[Coffee_Type].&amp;[Roberia]" c="Roberia"/>
            </range>
          </ranges>
        </level>
      </levels>
      <selections count="1">
        <selection n="[Table3].[Coffee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E997FF98-A4F1-4C85-AAD8-0907D42D36DF}" sourceName="[Table3].[Roast_Type]">
  <pivotTables>
    <pivotTable tabId="5" name="PivotTable5"/>
    <pivotTable tabId="5" name="PivotTable2"/>
    <pivotTable tabId="5" name="PivotTable3"/>
    <pivotTable tabId="5" name="PivotTable6"/>
    <pivotTable tabId="5" name="PivotTable7"/>
    <pivotTable tabId="5" name="PivotTable8"/>
    <pivotTable tabId="5" name="PivotTable9"/>
    <pivotTable tabId="5" name="PivotTable1"/>
  </pivotTables>
  <data>
    <olap pivotCacheId="1068614942">
      <levels count="2">
        <level uniqueName="[Table3].[Roast_Type].[(All)]" sourceCaption="(All)" count="0"/>
        <level uniqueName="[Table3].[Roast_Type].[Roast_Type]" sourceCaption="Roast_Type" count="3">
          <ranges>
            <range startItem="0">
              <i n="[Table3].[Roast_Type].&amp;[Dark]" c="Dark"/>
              <i n="[Table3].[Roast_Type].&amp;[Large]" c="Large"/>
              <i n="[Table3].[Roast_Type].&amp;[Medium]" c="Medium"/>
            </range>
          </ranges>
        </level>
      </levels>
      <selections count="1">
        <selection n="[Table3].[Roas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56BED44-7928-400E-BF3E-32C9E9FC5710}" sourceName="[Table3].[Year]">
  <pivotTables>
    <pivotTable tabId="5" name="PivotTable5"/>
    <pivotTable tabId="5" name="PivotTable2"/>
    <pivotTable tabId="5" name="PivotTable3"/>
    <pivotTable tabId="5" name="PivotTable6"/>
    <pivotTable tabId="5" name="PivotTable7"/>
    <pivotTable tabId="5" name="PivotTable8"/>
    <pivotTable tabId="5" name="PivotTable9"/>
    <pivotTable tabId="5" name="PivotTable1"/>
  </pivotTables>
  <data>
    <olap pivotCacheId="1068614942">
      <levels count="2">
        <level uniqueName="[Table3].[Year].[(All)]" sourceCaption="(All)" count="0"/>
        <level uniqueName="[Table3].[Year].[Year]" sourceCaption="Year" count="4">
          <ranges>
            <range startItem="0">
              <i n="[Table3].[Year].&amp;[2019]" c="2019"/>
              <i n="[Table3].[Year].&amp;[2020]" c="2020"/>
              <i n="[Table3].[Year].&amp;[2021]" c="2021"/>
              <i n="[Table3].[Year].&amp;[2022]" c="2022"/>
            </range>
          </ranges>
        </level>
      </levels>
      <selections count="1">
        <selection n="[Table3].[Year].&amp;[2021]"/>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2DEF469E-9609-4A3C-BF41-3AB228D62842}" sourceName="[Table3].[Loyalty Card]">
  <pivotTables>
    <pivotTable tabId="5" name="PivotTable3"/>
    <pivotTable tabId="5" name="PivotTable2"/>
    <pivotTable tabId="5" name="PivotTable5"/>
    <pivotTable tabId="5" name="PivotTable6"/>
    <pivotTable tabId="5" name="PivotTable7"/>
    <pivotTable tabId="5" name="PivotTable8"/>
    <pivotTable tabId="5" name="PivotTable9"/>
    <pivotTable tabId="5" name="PivotTable1"/>
  </pivotTables>
  <data>
    <olap pivotCacheId="1547610749">
      <levels count="2">
        <level uniqueName="[Table3].[Loyalty Card].[(All)]" sourceCaption="(All)" count="0"/>
        <level uniqueName="[Table3].[Loyalty Card].[Loyalty Card]" sourceCaption="Loyalty Card" count="2">
          <ranges>
            <range startItem="0">
              <i n="[Table3].[Loyalty Card].&amp;[No]" c="No"/>
              <i n="[Table3].[Loyalty Card].&amp;[Yes]" c="Yes"/>
            </range>
          </ranges>
        </level>
      </levels>
      <selections count="1">
        <selection n="[Table3].[Loyalty Car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Type" xr10:uid="{C7719CB3-B01B-4722-9E27-7992342ABDEB}" cache="Slicer_Coffee_Type" caption="Coffee_Type" level="1" rowHeight="241300"/>
  <slicer name="Roast_Type" xr10:uid="{0B79C966-6A95-448D-896A-828921975A4F}" cache="Slicer_Roast_Type" caption="Roast_Type" level="1" rowHeight="241300"/>
  <slicer name="Year" xr10:uid="{7852D8AD-BF55-49E5-825C-D6B937E48190}" cache="Slicer_Year" caption="Year" level="1" rowHeight="241300"/>
  <slicer name="Loyalty Card" xr10:uid="{C5A37A8B-3C3C-4C2B-ABF4-B58B4847F63A}" cache="Slicer_Loyalty_Card1" caption="Loyalty Car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Type 1" xr10:uid="{A9F20215-BD56-4A4F-A83E-D08F0E3F717B}" cache="Slicer_Coffee_Type" caption="Coffee_Type" level="1" style="SlicerStyleLight1 3" rowHeight="241300"/>
  <slicer name="Roast_Type 1" xr10:uid="{097239C1-A73E-40A0-8F5B-FA68D91ADDD6}" cache="Slicer_Roast_Type" caption="Roast_Type" level="1" style="SlicerStyleLight1 3" rowHeight="241300"/>
  <slicer name="Year 1" xr10:uid="{65FC7DD8-F266-495E-AF9E-81833182B219}" cache="Slicer_Year" caption="Year" level="1" style="SlicerStyleLight1 3" rowHeight="241300"/>
  <slicer name="Loyalty Card 1" xr10:uid="{99407E25-41A7-498B-B68F-1490D6C23ED9}" cache="Slicer_Loyalty_Card1" caption="Loyalty Card" level="1" style="SlicerStyleLight1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8F9D98-5E80-43D4-B459-604CAA0656FC}" name="Table5" displayName="Table5" ref="A1:J1001" totalsRowShown="0">
  <autoFilter ref="A1:J1001" xr:uid="{4FE58DCD-1B50-4B52-9B02-D025E8D14A68}"/>
  <tableColumns count="10">
    <tableColumn id="1" xr3:uid="{97C9E932-2878-4F56-9E79-BDC3E48BF131}" name="Column1"/>
    <tableColumn id="2" xr3:uid="{DFDC4FAE-780D-420C-912C-C0C290E70C0B}" name="Customer Name"/>
    <tableColumn id="3" xr3:uid="{1E1ABC7A-3223-40FA-A84E-CB281C2C3E96}" name="Email"/>
    <tableColumn id="4" xr3:uid="{13AA843C-FB77-4473-ABF7-42CC8711F4A0}" name="Phone Number"/>
    <tableColumn id="5" xr3:uid="{0DD3D691-0B82-4D55-97F5-D7DDE20A9278}" name="Address Line 1"/>
    <tableColumn id="6" xr3:uid="{E73909EC-614E-46F4-8FC6-4854933AF94D}" name="City"/>
    <tableColumn id="7" xr3:uid="{3A8DE557-59B9-493B-A8D1-BAA78EBD03AD}" name="Country"/>
    <tableColumn id="8" xr3:uid="{7570126D-AE13-461F-8BEF-956322025C23}" name="Postcode"/>
    <tableColumn id="9" xr3:uid="{7FD63A9E-BBF5-4E4F-9B63-DF51A19DEBD1}" name="Loyalty Card"/>
    <tableColumn id="10" xr3:uid="{E95F18FF-D436-434C-885B-062669263CB9}" name="Customer ID2"/>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C29843-7C62-4CD7-9074-DC57A75B27E8}" name="Table4" displayName="Table4" ref="A1:G49" totalsRowShown="0">
  <tableColumns count="7">
    <tableColumn id="1" xr3:uid="{356E1632-C476-4415-A057-7EB662F3A110}" name="Product ID"/>
    <tableColumn id="2" xr3:uid="{9B1FA3C7-D9FD-4E94-A98D-FEB8163E2FF8}" name="Coffee Type"/>
    <tableColumn id="3" xr3:uid="{14E90D62-6505-4ED7-9D6D-7D4CD1FFDF83}" name="Roast Type"/>
    <tableColumn id="4" xr3:uid="{D42721FE-4E16-4CA1-9EB1-67F6F3DB4B38}" name="Size"/>
    <tableColumn id="5" xr3:uid="{888148B8-73D8-48EC-A643-40B368D592C8}" name="Unit Price"/>
    <tableColumn id="6" xr3:uid="{D1AB8F86-6BA5-4631-B229-6AE8E2A4E2FC}" name="Price per 100g"/>
    <tableColumn id="7" xr3:uid="{81319ECE-D4A3-4C82-AC10-72CCCD3D25B4}" name="Profit"/>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7D685F-244C-4DA8-9B78-8804AF199DDB}" name="Table3" displayName="Table3" ref="A1:R1002" totalsRowCount="1">
  <tableColumns count="18">
    <tableColumn id="1" xr3:uid="{FFF9C949-5CF8-456E-B251-2F83850D24C4}" name="Order ID" totalsRowLabel="Total"/>
    <tableColumn id="2" xr3:uid="{C28A51D4-99B0-404D-951D-EC5DF34FCA49}" name="Order Date" dataDxfId="9" totalsRowDxfId="4"/>
    <tableColumn id="3" xr3:uid="{A8FE6ADF-1E91-4A71-8394-7B2715D1990C}" name="Year">
      <calculatedColumnFormula>TEXT(Table3[[#This Row],[Order Date]],"yyyy")</calculatedColumnFormula>
    </tableColumn>
    <tableColumn id="18" xr3:uid="{7EF84217-F4E3-4FB5-ABE4-518F564931EA}" name="Months" dataDxfId="8" totalsRowDxfId="3"/>
    <tableColumn id="4" xr3:uid="{A9C0820A-DC8B-4A08-B830-11E35FF40109}" name="Customer ID"/>
    <tableColumn id="5" xr3:uid="{ABA45B0F-2366-4805-A051-D0204C441009}" name="Product ID"/>
    <tableColumn id="6" xr3:uid="{6FA7AAE8-A34C-453D-A8D3-544F27EE0722}" name="Quantity"/>
    <tableColumn id="17" xr3:uid="{DF6A5A7D-F269-47B1-BD69-9438BA30196B}" name="Customer Name" dataDxfId="7" totalsRowDxfId="2"/>
    <tableColumn id="7" xr3:uid="{2FB6A429-1412-4047-8620-D6E7C7083E5B}" name="Country"/>
    <tableColumn id="8" xr3:uid="{D7FF7DF5-D4AF-4586-A906-F721AD86B919}" name="City"/>
    <tableColumn id="9" xr3:uid="{DDB30BBA-2B14-43E7-B5C6-AD126B9F8D47}" name="Loyalty Card"/>
    <tableColumn id="10" xr3:uid="{A8CB8979-B6AA-4568-AED0-151300B56835}" name="Coffee_Type"/>
    <tableColumn id="15" xr3:uid="{04CFFA1E-10D9-467A-BEB2-F0597027CFB7}" name="Roast_Type" dataDxfId="6" totalsRowDxfId="1"/>
    <tableColumn id="11" xr3:uid="{AFCCD9AD-96C4-4845-9E5F-07F4ABED5B03}" name="Size"/>
    <tableColumn id="12" xr3:uid="{D286486B-DFAF-4298-BC2D-AB548D729020}" name="Unit Price"/>
    <tableColumn id="13" xr3:uid="{B8D55F48-4FAA-47CF-977E-58511DE4012D}" name="Price per 100g"/>
    <tableColumn id="14" xr3:uid="{8168EF6A-8BEA-46EB-ABDE-B1D8C75583AE}" name="Profit"/>
    <tableColumn id="16" xr3:uid="{9ACD71B1-E3C9-415B-AEC9-CA8E5316F8BB}" name="Sales" dataDxfId="5" totalsRow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21B5CFE-5AC2-4912-B5DE-DB4CDBB3D005}" sourceName="[Table3].[Order Date]">
  <pivotTables>
    <pivotTable tabId="5" name="PivotTable3"/>
    <pivotTable tabId="5" name="PivotTable1"/>
    <pivotTable tabId="5" name="PivotTable2"/>
    <pivotTable tabId="5" name="PivotTable5"/>
    <pivotTable tabId="5" name="PivotTable6"/>
    <pivotTable tabId="5" name="PivotTable7"/>
    <pivotTable tabId="5" name="PivotTable8"/>
    <pivotTable tabId="5" name="PivotTable9"/>
  </pivotTables>
  <state minimalRefreshVersion="6" lastRefreshVersion="6" pivotCacheId="40443226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C8C0DA7-6ED5-4FEE-A5E1-324E006D9269}" cache="Timeline_Order_Date" caption="Order Date" level="1" selectionLevel="1" scrollPosition="2019-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0198377-E319-4268-89E3-D5AC6F696ACD}" cache="Timeline_Order_Date" caption="Order Date" showHorizontalScrollbar="0" level="0" selectionLevel="0" scrollPosition="2019-01-01T00:00:00" style="TimeSlicerStyleLight6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58DCD-1B50-4B52-9B02-D025E8D14A68}">
  <dimension ref="A1:J1001"/>
  <sheetViews>
    <sheetView topLeftCell="C1" zoomScaleNormal="100" workbookViewId="0">
      <selection activeCell="G2" sqref="G2:G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42578125" bestFit="1" customWidth="1"/>
    <col min="9" max="9" width="14" bestFit="1" customWidth="1"/>
    <col min="10" max="10" width="16.28515625" bestFit="1" customWidth="1"/>
  </cols>
  <sheetData>
    <row r="1" spans="1:10" x14ac:dyDescent="0.25">
      <c r="A1" t="s">
        <v>6217</v>
      </c>
      <c r="B1" t="s">
        <v>1924</v>
      </c>
      <c r="C1" t="s">
        <v>1925</v>
      </c>
      <c r="D1" t="s">
        <v>1926</v>
      </c>
      <c r="E1" t="s">
        <v>1927</v>
      </c>
      <c r="F1" t="s">
        <v>1928</v>
      </c>
      <c r="G1" t="s">
        <v>1929</v>
      </c>
      <c r="H1" t="s">
        <v>1930</v>
      </c>
      <c r="I1" t="s">
        <v>1931</v>
      </c>
      <c r="J1" t="s">
        <v>1932</v>
      </c>
    </row>
    <row r="2" spans="1:10" x14ac:dyDescent="0.25">
      <c r="A2" t="s">
        <v>7</v>
      </c>
      <c r="B2" t="s">
        <v>1933</v>
      </c>
      <c r="C2" t="s">
        <v>1934</v>
      </c>
      <c r="D2" t="s">
        <v>1935</v>
      </c>
      <c r="E2" t="s">
        <v>1936</v>
      </c>
      <c r="F2" t="s">
        <v>1937</v>
      </c>
      <c r="G2" t="s">
        <v>6210</v>
      </c>
      <c r="H2">
        <v>7505</v>
      </c>
      <c r="I2" t="s">
        <v>1938</v>
      </c>
      <c r="J2" t="s">
        <v>7</v>
      </c>
    </row>
    <row r="3" spans="1:10" x14ac:dyDescent="0.25">
      <c r="A3" t="s">
        <v>1939</v>
      </c>
      <c r="B3" t="s">
        <v>1940</v>
      </c>
      <c r="C3" t="s">
        <v>1941</v>
      </c>
      <c r="D3" t="s">
        <v>1942</v>
      </c>
      <c r="E3" t="s">
        <v>1943</v>
      </c>
      <c r="F3" t="s">
        <v>1944</v>
      </c>
      <c r="G3" t="s">
        <v>1945</v>
      </c>
      <c r="H3" t="s">
        <v>1946</v>
      </c>
      <c r="I3" t="s">
        <v>1947</v>
      </c>
      <c r="J3" t="s">
        <v>1939</v>
      </c>
    </row>
    <row r="4" spans="1:10" x14ac:dyDescent="0.25">
      <c r="A4" t="s">
        <v>11</v>
      </c>
      <c r="B4" t="s">
        <v>1948</v>
      </c>
      <c r="C4" t="s">
        <v>1949</v>
      </c>
      <c r="D4" t="s">
        <v>1950</v>
      </c>
      <c r="E4" t="s">
        <v>1951</v>
      </c>
      <c r="F4" t="s">
        <v>1952</v>
      </c>
      <c r="G4" t="s">
        <v>6210</v>
      </c>
      <c r="H4">
        <v>78205</v>
      </c>
      <c r="I4" t="s">
        <v>1938</v>
      </c>
      <c r="J4" t="s">
        <v>11</v>
      </c>
    </row>
    <row r="5" spans="1:10" x14ac:dyDescent="0.25">
      <c r="A5" t="s">
        <v>1953</v>
      </c>
      <c r="B5" t="s">
        <v>1954</v>
      </c>
      <c r="C5" t="s">
        <v>1955</v>
      </c>
      <c r="D5" t="s">
        <v>1956</v>
      </c>
      <c r="E5" t="s">
        <v>1957</v>
      </c>
      <c r="F5" t="s">
        <v>1958</v>
      </c>
      <c r="G5" t="s">
        <v>6210</v>
      </c>
      <c r="H5">
        <v>62711</v>
      </c>
      <c r="I5" t="s">
        <v>1938</v>
      </c>
      <c r="J5" t="s">
        <v>1953</v>
      </c>
    </row>
    <row r="6" spans="1:10" x14ac:dyDescent="0.25">
      <c r="A6" t="s">
        <v>14</v>
      </c>
      <c r="B6" t="s">
        <v>1959</v>
      </c>
      <c r="D6" t="s">
        <v>1960</v>
      </c>
      <c r="E6" t="s">
        <v>1961</v>
      </c>
      <c r="F6" t="s">
        <v>1962</v>
      </c>
      <c r="G6" t="s">
        <v>1945</v>
      </c>
      <c r="H6" t="s">
        <v>1963</v>
      </c>
      <c r="I6" t="s">
        <v>1947</v>
      </c>
      <c r="J6" t="s">
        <v>14</v>
      </c>
    </row>
    <row r="7" spans="1:10" x14ac:dyDescent="0.25">
      <c r="A7" t="s">
        <v>18</v>
      </c>
      <c r="B7" t="s">
        <v>1964</v>
      </c>
      <c r="D7" t="s">
        <v>1965</v>
      </c>
      <c r="E7" t="s">
        <v>1966</v>
      </c>
      <c r="F7" t="s">
        <v>1967</v>
      </c>
      <c r="G7" t="s">
        <v>6210</v>
      </c>
      <c r="H7">
        <v>18505</v>
      </c>
      <c r="I7" t="s">
        <v>1947</v>
      </c>
      <c r="J7" t="s">
        <v>18</v>
      </c>
    </row>
    <row r="8" spans="1:10" x14ac:dyDescent="0.25">
      <c r="A8" t="s">
        <v>21</v>
      </c>
      <c r="B8" t="s">
        <v>1968</v>
      </c>
      <c r="C8" t="s">
        <v>1969</v>
      </c>
      <c r="D8" t="s">
        <v>1970</v>
      </c>
      <c r="E8" t="s">
        <v>1971</v>
      </c>
      <c r="F8" t="s">
        <v>1972</v>
      </c>
      <c r="G8" t="s">
        <v>6210</v>
      </c>
      <c r="H8">
        <v>45440</v>
      </c>
      <c r="I8" t="s">
        <v>1938</v>
      </c>
      <c r="J8" t="s">
        <v>21</v>
      </c>
    </row>
    <row r="9" spans="1:10" x14ac:dyDescent="0.25">
      <c r="A9" t="s">
        <v>24</v>
      </c>
      <c r="B9" t="s">
        <v>1973</v>
      </c>
      <c r="D9" t="s">
        <v>1974</v>
      </c>
      <c r="E9" t="s">
        <v>1975</v>
      </c>
      <c r="F9" t="s">
        <v>1976</v>
      </c>
      <c r="G9" t="s">
        <v>1945</v>
      </c>
      <c r="H9" t="s">
        <v>1977</v>
      </c>
      <c r="I9" t="s">
        <v>1938</v>
      </c>
      <c r="J9" t="s">
        <v>24</v>
      </c>
    </row>
    <row r="10" spans="1:10" x14ac:dyDescent="0.25">
      <c r="A10" t="s">
        <v>27</v>
      </c>
      <c r="B10" t="s">
        <v>1978</v>
      </c>
      <c r="C10" t="s">
        <v>1979</v>
      </c>
      <c r="D10" t="s">
        <v>1980</v>
      </c>
      <c r="E10" t="s">
        <v>1981</v>
      </c>
      <c r="F10" t="s">
        <v>1982</v>
      </c>
      <c r="G10" t="s">
        <v>6210</v>
      </c>
      <c r="H10">
        <v>90045</v>
      </c>
      <c r="I10" t="s">
        <v>1947</v>
      </c>
      <c r="J10" t="s">
        <v>27</v>
      </c>
    </row>
    <row r="11" spans="1:10" x14ac:dyDescent="0.25">
      <c r="A11" t="s">
        <v>30</v>
      </c>
      <c r="B11" t="s">
        <v>1983</v>
      </c>
      <c r="C11" t="s">
        <v>1984</v>
      </c>
      <c r="D11" t="s">
        <v>1985</v>
      </c>
      <c r="E11" t="s">
        <v>1986</v>
      </c>
      <c r="F11" t="s">
        <v>1982</v>
      </c>
      <c r="G11" t="s">
        <v>6210</v>
      </c>
      <c r="H11">
        <v>90065</v>
      </c>
      <c r="I11" t="s">
        <v>1947</v>
      </c>
      <c r="J11" t="s">
        <v>30</v>
      </c>
    </row>
    <row r="12" spans="1:10" x14ac:dyDescent="0.25">
      <c r="A12" t="s">
        <v>32</v>
      </c>
      <c r="B12" t="s">
        <v>1987</v>
      </c>
      <c r="C12" t="s">
        <v>1988</v>
      </c>
      <c r="D12" t="s">
        <v>1989</v>
      </c>
      <c r="E12" t="s">
        <v>1990</v>
      </c>
      <c r="F12" t="s">
        <v>1991</v>
      </c>
      <c r="G12" t="s">
        <v>6210</v>
      </c>
      <c r="H12">
        <v>95160</v>
      </c>
      <c r="I12" t="s">
        <v>1947</v>
      </c>
      <c r="J12" t="s">
        <v>32</v>
      </c>
    </row>
    <row r="13" spans="1:10" x14ac:dyDescent="0.25">
      <c r="A13" t="s">
        <v>35</v>
      </c>
      <c r="B13" t="s">
        <v>1992</v>
      </c>
      <c r="C13" t="s">
        <v>1993</v>
      </c>
      <c r="D13" t="s">
        <v>1994</v>
      </c>
      <c r="E13" t="s">
        <v>1995</v>
      </c>
      <c r="F13" t="s">
        <v>1991</v>
      </c>
      <c r="G13" t="s">
        <v>6210</v>
      </c>
      <c r="H13">
        <v>95194</v>
      </c>
      <c r="I13" t="s">
        <v>1938</v>
      </c>
      <c r="J13" t="s">
        <v>35</v>
      </c>
    </row>
    <row r="14" spans="1:10" x14ac:dyDescent="0.25">
      <c r="A14" t="s">
        <v>38</v>
      </c>
      <c r="B14" t="s">
        <v>1996</v>
      </c>
      <c r="C14" t="s">
        <v>1997</v>
      </c>
      <c r="D14" t="s">
        <v>1998</v>
      </c>
      <c r="E14" t="s">
        <v>1999</v>
      </c>
      <c r="F14" t="s">
        <v>2000</v>
      </c>
      <c r="G14" t="s">
        <v>6210</v>
      </c>
      <c r="H14">
        <v>23285</v>
      </c>
      <c r="I14" t="s">
        <v>1947</v>
      </c>
      <c r="J14" t="s">
        <v>38</v>
      </c>
    </row>
    <row r="15" spans="1:10" x14ac:dyDescent="0.25">
      <c r="A15" t="s">
        <v>40</v>
      </c>
      <c r="B15" t="s">
        <v>2001</v>
      </c>
      <c r="C15" t="s">
        <v>2002</v>
      </c>
      <c r="E15" t="s">
        <v>2003</v>
      </c>
      <c r="F15" t="s">
        <v>2004</v>
      </c>
      <c r="G15" t="s">
        <v>6210</v>
      </c>
      <c r="H15">
        <v>41905</v>
      </c>
      <c r="I15" t="s">
        <v>1947</v>
      </c>
      <c r="J15" t="s">
        <v>40</v>
      </c>
    </row>
    <row r="16" spans="1:10" x14ac:dyDescent="0.25">
      <c r="A16" t="s">
        <v>43</v>
      </c>
      <c r="B16" t="s">
        <v>2005</v>
      </c>
      <c r="C16" t="s">
        <v>2006</v>
      </c>
      <c r="D16" t="s">
        <v>2007</v>
      </c>
      <c r="E16" t="s">
        <v>2008</v>
      </c>
      <c r="F16" t="s">
        <v>2009</v>
      </c>
      <c r="G16" t="s">
        <v>6210</v>
      </c>
      <c r="H16">
        <v>63131</v>
      </c>
      <c r="I16" t="s">
        <v>1938</v>
      </c>
      <c r="J16" t="s">
        <v>43</v>
      </c>
    </row>
    <row r="17" spans="1:10" x14ac:dyDescent="0.25">
      <c r="A17" t="s">
        <v>46</v>
      </c>
      <c r="B17" t="s">
        <v>2010</v>
      </c>
      <c r="C17" t="s">
        <v>2011</v>
      </c>
      <c r="E17" t="s">
        <v>2012</v>
      </c>
      <c r="F17" t="s">
        <v>2013</v>
      </c>
      <c r="G17" t="s">
        <v>6210</v>
      </c>
      <c r="H17">
        <v>19172</v>
      </c>
      <c r="I17" t="s">
        <v>1947</v>
      </c>
      <c r="J17" t="s">
        <v>46</v>
      </c>
    </row>
    <row r="18" spans="1:10" x14ac:dyDescent="0.25">
      <c r="A18" t="s">
        <v>49</v>
      </c>
      <c r="B18" t="s">
        <v>2014</v>
      </c>
      <c r="C18" t="s">
        <v>2015</v>
      </c>
      <c r="D18" t="s">
        <v>2016</v>
      </c>
      <c r="E18" t="s">
        <v>2017</v>
      </c>
      <c r="F18" t="s">
        <v>2018</v>
      </c>
      <c r="G18" t="s">
        <v>6210</v>
      </c>
      <c r="H18">
        <v>97271</v>
      </c>
      <c r="I18" t="s">
        <v>1947</v>
      </c>
      <c r="J18" t="s">
        <v>49</v>
      </c>
    </row>
    <row r="19" spans="1:10" x14ac:dyDescent="0.25">
      <c r="A19" t="s">
        <v>52</v>
      </c>
      <c r="B19" t="s">
        <v>2019</v>
      </c>
      <c r="C19" t="s">
        <v>2020</v>
      </c>
      <c r="D19" t="s">
        <v>2021</v>
      </c>
      <c r="E19" t="s">
        <v>2022</v>
      </c>
      <c r="F19" t="s">
        <v>2023</v>
      </c>
      <c r="G19" t="s">
        <v>6210</v>
      </c>
      <c r="H19">
        <v>77240</v>
      </c>
      <c r="I19" t="s">
        <v>1947</v>
      </c>
      <c r="J19" t="s">
        <v>52</v>
      </c>
    </row>
    <row r="20" spans="1:10" x14ac:dyDescent="0.25">
      <c r="A20" t="s">
        <v>54</v>
      </c>
      <c r="B20" t="s">
        <v>2024</v>
      </c>
      <c r="C20" t="s">
        <v>2025</v>
      </c>
      <c r="E20" t="s">
        <v>2026</v>
      </c>
      <c r="F20" t="s">
        <v>2027</v>
      </c>
      <c r="G20" t="s">
        <v>1945</v>
      </c>
      <c r="H20" t="s">
        <v>2028</v>
      </c>
      <c r="I20" t="s">
        <v>1938</v>
      </c>
      <c r="J20" t="s">
        <v>54</v>
      </c>
    </row>
    <row r="21" spans="1:10" x14ac:dyDescent="0.25">
      <c r="A21" t="s">
        <v>56</v>
      </c>
      <c r="B21" t="s">
        <v>2029</v>
      </c>
      <c r="C21" t="s">
        <v>2030</v>
      </c>
      <c r="D21" t="s">
        <v>2031</v>
      </c>
      <c r="E21" t="s">
        <v>2032</v>
      </c>
      <c r="F21" t="s">
        <v>2033</v>
      </c>
      <c r="G21" t="s">
        <v>6210</v>
      </c>
      <c r="H21">
        <v>10060</v>
      </c>
      <c r="I21" t="s">
        <v>1938</v>
      </c>
      <c r="J21" t="s">
        <v>56</v>
      </c>
    </row>
    <row r="22" spans="1:10" x14ac:dyDescent="0.25">
      <c r="A22" t="s">
        <v>2034</v>
      </c>
      <c r="B22" t="s">
        <v>2035</v>
      </c>
      <c r="D22" t="s">
        <v>2036</v>
      </c>
      <c r="E22" t="s">
        <v>2037</v>
      </c>
      <c r="F22" t="s">
        <v>2038</v>
      </c>
      <c r="G22" t="s">
        <v>1945</v>
      </c>
      <c r="H22" t="s">
        <v>2039</v>
      </c>
      <c r="I22" t="s">
        <v>1938</v>
      </c>
      <c r="J22" t="s">
        <v>2034</v>
      </c>
    </row>
    <row r="23" spans="1:10" x14ac:dyDescent="0.25">
      <c r="A23" t="s">
        <v>59</v>
      </c>
      <c r="B23" t="s">
        <v>2040</v>
      </c>
      <c r="C23" t="s">
        <v>2041</v>
      </c>
      <c r="D23" t="s">
        <v>2042</v>
      </c>
      <c r="E23" t="s">
        <v>2043</v>
      </c>
      <c r="F23" t="s">
        <v>2044</v>
      </c>
      <c r="G23" t="s">
        <v>6210</v>
      </c>
      <c r="H23">
        <v>49560</v>
      </c>
      <c r="I23" t="s">
        <v>1947</v>
      </c>
      <c r="J23" t="s">
        <v>59</v>
      </c>
    </row>
    <row r="24" spans="1:10" x14ac:dyDescent="0.25">
      <c r="A24" t="s">
        <v>62</v>
      </c>
      <c r="B24" t="s">
        <v>2045</v>
      </c>
      <c r="C24" t="s">
        <v>2046</v>
      </c>
      <c r="D24" t="s">
        <v>2047</v>
      </c>
      <c r="E24" t="s">
        <v>2048</v>
      </c>
      <c r="F24" t="s">
        <v>2049</v>
      </c>
      <c r="G24" t="s">
        <v>6210</v>
      </c>
      <c r="H24">
        <v>33982</v>
      </c>
      <c r="I24" t="s">
        <v>1938</v>
      </c>
      <c r="J24" t="s">
        <v>62</v>
      </c>
    </row>
    <row r="25" spans="1:10" x14ac:dyDescent="0.25">
      <c r="A25" t="s">
        <v>64</v>
      </c>
      <c r="B25" t="s">
        <v>2050</v>
      </c>
      <c r="C25" t="s">
        <v>2051</v>
      </c>
      <c r="D25" t="s">
        <v>2052</v>
      </c>
      <c r="E25" t="s">
        <v>2053</v>
      </c>
      <c r="F25" t="s">
        <v>2054</v>
      </c>
      <c r="G25" t="s">
        <v>6210</v>
      </c>
      <c r="H25">
        <v>98682</v>
      </c>
      <c r="I25" t="s">
        <v>1938</v>
      </c>
      <c r="J25" t="s">
        <v>64</v>
      </c>
    </row>
    <row r="26" spans="1:10" x14ac:dyDescent="0.25">
      <c r="A26" t="s">
        <v>66</v>
      </c>
      <c r="B26" t="s">
        <v>2055</v>
      </c>
      <c r="C26" t="s">
        <v>2056</v>
      </c>
      <c r="D26" t="s">
        <v>2057</v>
      </c>
      <c r="E26" t="s">
        <v>2058</v>
      </c>
      <c r="F26" t="s">
        <v>2059</v>
      </c>
      <c r="G26" t="s">
        <v>6210</v>
      </c>
      <c r="H26">
        <v>80150</v>
      </c>
      <c r="I26" t="s">
        <v>1947</v>
      </c>
      <c r="J26" t="s">
        <v>66</v>
      </c>
    </row>
    <row r="27" spans="1:10" x14ac:dyDescent="0.25">
      <c r="A27" t="s">
        <v>69</v>
      </c>
      <c r="B27" t="s">
        <v>2060</v>
      </c>
      <c r="D27" t="s">
        <v>2061</v>
      </c>
      <c r="E27" t="s">
        <v>2062</v>
      </c>
      <c r="F27" t="s">
        <v>2049</v>
      </c>
      <c r="G27" t="s">
        <v>6210</v>
      </c>
      <c r="H27">
        <v>33982</v>
      </c>
      <c r="I27" t="s">
        <v>1938</v>
      </c>
      <c r="J27" t="s">
        <v>69</v>
      </c>
    </row>
    <row r="28" spans="1:10" x14ac:dyDescent="0.25">
      <c r="A28" t="s">
        <v>72</v>
      </c>
      <c r="B28" t="s">
        <v>2063</v>
      </c>
      <c r="C28" t="s">
        <v>2064</v>
      </c>
      <c r="D28" t="s">
        <v>2065</v>
      </c>
      <c r="E28" t="s">
        <v>2066</v>
      </c>
      <c r="F28" t="s">
        <v>2067</v>
      </c>
      <c r="G28" t="s">
        <v>6210</v>
      </c>
      <c r="H28">
        <v>94975</v>
      </c>
      <c r="I28" t="s">
        <v>1938</v>
      </c>
      <c r="J28" t="s">
        <v>72</v>
      </c>
    </row>
    <row r="29" spans="1:10" x14ac:dyDescent="0.25">
      <c r="A29" t="s">
        <v>75</v>
      </c>
      <c r="B29" t="s">
        <v>2068</v>
      </c>
      <c r="C29" t="s">
        <v>2069</v>
      </c>
      <c r="D29" t="s">
        <v>2070</v>
      </c>
      <c r="E29" t="s">
        <v>2071</v>
      </c>
      <c r="F29" t="s">
        <v>2072</v>
      </c>
      <c r="G29" t="s">
        <v>1945</v>
      </c>
      <c r="H29" t="s">
        <v>2073</v>
      </c>
      <c r="I29" t="s">
        <v>1947</v>
      </c>
      <c r="J29" t="s">
        <v>75</v>
      </c>
    </row>
    <row r="30" spans="1:10" x14ac:dyDescent="0.25">
      <c r="A30" t="s">
        <v>77</v>
      </c>
      <c r="B30" t="s">
        <v>2074</v>
      </c>
      <c r="C30" t="s">
        <v>2075</v>
      </c>
      <c r="D30" t="s">
        <v>2076</v>
      </c>
      <c r="E30" t="s">
        <v>2077</v>
      </c>
      <c r="F30" t="s">
        <v>2078</v>
      </c>
      <c r="G30" t="s">
        <v>1945</v>
      </c>
      <c r="H30" t="s">
        <v>2079</v>
      </c>
      <c r="I30" t="s">
        <v>1947</v>
      </c>
      <c r="J30" t="s">
        <v>77</v>
      </c>
    </row>
    <row r="31" spans="1:10" x14ac:dyDescent="0.25">
      <c r="A31" t="s">
        <v>80</v>
      </c>
      <c r="B31" t="s">
        <v>2080</v>
      </c>
      <c r="C31" t="s">
        <v>2081</v>
      </c>
      <c r="D31" t="s">
        <v>2082</v>
      </c>
      <c r="E31" t="s">
        <v>2083</v>
      </c>
      <c r="F31" t="s">
        <v>2084</v>
      </c>
      <c r="G31" t="s">
        <v>1945</v>
      </c>
      <c r="H31" t="s">
        <v>2085</v>
      </c>
      <c r="I31" t="s">
        <v>1938</v>
      </c>
      <c r="J31" t="s">
        <v>80</v>
      </c>
    </row>
    <row r="32" spans="1:10" x14ac:dyDescent="0.25">
      <c r="A32" t="s">
        <v>82</v>
      </c>
      <c r="B32" t="s">
        <v>2086</v>
      </c>
      <c r="D32" t="s">
        <v>2087</v>
      </c>
      <c r="E32" t="s">
        <v>2088</v>
      </c>
      <c r="F32" t="s">
        <v>2089</v>
      </c>
      <c r="G32" t="s">
        <v>6210</v>
      </c>
      <c r="H32">
        <v>80044</v>
      </c>
      <c r="I32" t="s">
        <v>1947</v>
      </c>
      <c r="J32" t="s">
        <v>82</v>
      </c>
    </row>
    <row r="33" spans="1:10" x14ac:dyDescent="0.25">
      <c r="A33" t="s">
        <v>2090</v>
      </c>
      <c r="B33" t="s">
        <v>2091</v>
      </c>
      <c r="C33" t="s">
        <v>2092</v>
      </c>
      <c r="D33" t="s">
        <v>2093</v>
      </c>
      <c r="E33" t="s">
        <v>2094</v>
      </c>
      <c r="F33" t="s">
        <v>2095</v>
      </c>
      <c r="G33" t="s">
        <v>6210</v>
      </c>
      <c r="H33">
        <v>11407</v>
      </c>
      <c r="I33" t="s">
        <v>1947</v>
      </c>
      <c r="J33" t="s">
        <v>2090</v>
      </c>
    </row>
    <row r="34" spans="1:10" x14ac:dyDescent="0.25">
      <c r="A34" t="s">
        <v>2096</v>
      </c>
      <c r="B34" t="s">
        <v>2097</v>
      </c>
      <c r="C34" t="s">
        <v>2098</v>
      </c>
      <c r="D34" t="s">
        <v>2099</v>
      </c>
      <c r="E34" t="s">
        <v>2100</v>
      </c>
      <c r="F34" t="s">
        <v>2101</v>
      </c>
      <c r="G34" t="s">
        <v>1945</v>
      </c>
      <c r="H34" t="s">
        <v>2102</v>
      </c>
      <c r="I34" t="s">
        <v>1938</v>
      </c>
      <c r="J34" t="s">
        <v>2096</v>
      </c>
    </row>
    <row r="35" spans="1:10" x14ac:dyDescent="0.25">
      <c r="A35" t="s">
        <v>86</v>
      </c>
      <c r="B35" t="s">
        <v>2103</v>
      </c>
      <c r="C35" t="s">
        <v>2104</v>
      </c>
      <c r="E35" t="s">
        <v>2105</v>
      </c>
      <c r="F35" t="s">
        <v>2106</v>
      </c>
      <c r="G35" t="s">
        <v>6210</v>
      </c>
      <c r="H35">
        <v>58207</v>
      </c>
      <c r="I35" t="s">
        <v>1947</v>
      </c>
      <c r="J35" t="s">
        <v>86</v>
      </c>
    </row>
    <row r="36" spans="1:10" x14ac:dyDescent="0.25">
      <c r="A36" t="s">
        <v>88</v>
      </c>
      <c r="B36" t="s">
        <v>2107</v>
      </c>
      <c r="C36" t="s">
        <v>2108</v>
      </c>
      <c r="D36" t="s">
        <v>2109</v>
      </c>
      <c r="E36" t="s">
        <v>2110</v>
      </c>
      <c r="F36" t="s">
        <v>2111</v>
      </c>
      <c r="G36" t="s">
        <v>2112</v>
      </c>
      <c r="H36" t="s">
        <v>2113</v>
      </c>
      <c r="I36" t="s">
        <v>1938</v>
      </c>
      <c r="J36" t="s">
        <v>88</v>
      </c>
    </row>
    <row r="37" spans="1:10" x14ac:dyDescent="0.25">
      <c r="A37" t="s">
        <v>91</v>
      </c>
      <c r="B37" t="s">
        <v>2114</v>
      </c>
      <c r="C37" t="s">
        <v>2115</v>
      </c>
      <c r="D37" t="s">
        <v>2116</v>
      </c>
      <c r="E37" t="s">
        <v>2117</v>
      </c>
      <c r="F37" t="s">
        <v>2118</v>
      </c>
      <c r="G37" t="s">
        <v>6210</v>
      </c>
      <c r="H37">
        <v>25362</v>
      </c>
      <c r="I37" t="s">
        <v>1947</v>
      </c>
      <c r="J37" t="s">
        <v>91</v>
      </c>
    </row>
    <row r="38" spans="1:10" x14ac:dyDescent="0.25">
      <c r="A38" t="s">
        <v>93</v>
      </c>
      <c r="B38" t="s">
        <v>2119</v>
      </c>
      <c r="C38" t="s">
        <v>2120</v>
      </c>
      <c r="D38" t="s">
        <v>2121</v>
      </c>
      <c r="E38" t="s">
        <v>2122</v>
      </c>
      <c r="F38" t="s">
        <v>2123</v>
      </c>
      <c r="G38" t="s">
        <v>6210</v>
      </c>
      <c r="H38">
        <v>72204</v>
      </c>
      <c r="I38" t="s">
        <v>1947</v>
      </c>
      <c r="J38" t="s">
        <v>93</v>
      </c>
    </row>
    <row r="39" spans="1:10" x14ac:dyDescent="0.25">
      <c r="A39" t="s">
        <v>95</v>
      </c>
      <c r="B39" t="s">
        <v>2124</v>
      </c>
      <c r="C39" t="s">
        <v>2125</v>
      </c>
      <c r="D39" t="s">
        <v>2126</v>
      </c>
      <c r="E39" t="s">
        <v>2127</v>
      </c>
      <c r="F39" t="s">
        <v>2128</v>
      </c>
      <c r="G39" t="s">
        <v>6210</v>
      </c>
      <c r="H39">
        <v>80291</v>
      </c>
      <c r="I39" t="s">
        <v>1947</v>
      </c>
      <c r="J39" t="s">
        <v>95</v>
      </c>
    </row>
    <row r="40" spans="1:10" x14ac:dyDescent="0.25">
      <c r="A40" t="s">
        <v>97</v>
      </c>
      <c r="B40" t="s">
        <v>2129</v>
      </c>
      <c r="C40" t="s">
        <v>2130</v>
      </c>
      <c r="D40" t="s">
        <v>2131</v>
      </c>
      <c r="E40" t="s">
        <v>2132</v>
      </c>
      <c r="F40" t="s">
        <v>2133</v>
      </c>
      <c r="G40" t="s">
        <v>6210</v>
      </c>
      <c r="H40">
        <v>55458</v>
      </c>
      <c r="I40" t="s">
        <v>1947</v>
      </c>
      <c r="J40" t="s">
        <v>97</v>
      </c>
    </row>
    <row r="41" spans="1:10" x14ac:dyDescent="0.25">
      <c r="A41" t="s">
        <v>99</v>
      </c>
      <c r="B41" t="s">
        <v>2134</v>
      </c>
      <c r="E41" t="s">
        <v>2135</v>
      </c>
      <c r="F41" t="s">
        <v>2136</v>
      </c>
      <c r="G41" t="s">
        <v>6210</v>
      </c>
      <c r="H41">
        <v>85715</v>
      </c>
      <c r="I41" t="s">
        <v>1938</v>
      </c>
      <c r="J41" t="s">
        <v>99</v>
      </c>
    </row>
    <row r="42" spans="1:10" x14ac:dyDescent="0.25">
      <c r="A42" t="s">
        <v>101</v>
      </c>
      <c r="B42" t="s">
        <v>2137</v>
      </c>
      <c r="D42" t="s">
        <v>2138</v>
      </c>
      <c r="E42" t="s">
        <v>2139</v>
      </c>
      <c r="F42" t="s">
        <v>2140</v>
      </c>
      <c r="G42" t="s">
        <v>6210</v>
      </c>
      <c r="H42">
        <v>70116</v>
      </c>
      <c r="I42" t="s">
        <v>1947</v>
      </c>
      <c r="J42" t="s">
        <v>101</v>
      </c>
    </row>
    <row r="43" spans="1:10" x14ac:dyDescent="0.25">
      <c r="A43" t="s">
        <v>104</v>
      </c>
      <c r="B43" t="s">
        <v>2141</v>
      </c>
      <c r="C43" t="s">
        <v>2142</v>
      </c>
      <c r="D43" t="s">
        <v>2143</v>
      </c>
      <c r="E43" t="s">
        <v>2144</v>
      </c>
      <c r="F43" t="s">
        <v>2145</v>
      </c>
      <c r="G43" t="s">
        <v>6210</v>
      </c>
      <c r="H43">
        <v>6183</v>
      </c>
      <c r="I43" t="s">
        <v>1938</v>
      </c>
      <c r="J43" t="s">
        <v>104</v>
      </c>
    </row>
    <row r="44" spans="1:10" x14ac:dyDescent="0.25">
      <c r="A44" t="s">
        <v>106</v>
      </c>
      <c r="B44" t="s">
        <v>2146</v>
      </c>
      <c r="C44" t="s">
        <v>2147</v>
      </c>
      <c r="D44" t="s">
        <v>2148</v>
      </c>
      <c r="E44" t="s">
        <v>2149</v>
      </c>
      <c r="F44" t="s">
        <v>2150</v>
      </c>
      <c r="G44" t="s">
        <v>6210</v>
      </c>
      <c r="H44">
        <v>84409</v>
      </c>
      <c r="I44" t="s">
        <v>1938</v>
      </c>
      <c r="J44" t="s">
        <v>106</v>
      </c>
    </row>
    <row r="45" spans="1:10" x14ac:dyDescent="0.25">
      <c r="A45" t="s">
        <v>109</v>
      </c>
      <c r="B45" t="s">
        <v>2151</v>
      </c>
      <c r="D45" t="s">
        <v>2152</v>
      </c>
      <c r="E45" t="s">
        <v>2153</v>
      </c>
      <c r="F45" t="s">
        <v>2154</v>
      </c>
      <c r="G45" t="s">
        <v>6210</v>
      </c>
      <c r="H45">
        <v>2216</v>
      </c>
      <c r="I45" t="s">
        <v>1947</v>
      </c>
      <c r="J45" t="s">
        <v>109</v>
      </c>
    </row>
    <row r="46" spans="1:10" x14ac:dyDescent="0.25">
      <c r="A46" t="s">
        <v>112</v>
      </c>
      <c r="B46" t="s">
        <v>2155</v>
      </c>
      <c r="C46" t="s">
        <v>2156</v>
      </c>
      <c r="D46" t="s">
        <v>2157</v>
      </c>
      <c r="E46" t="s">
        <v>2158</v>
      </c>
      <c r="F46" t="s">
        <v>2159</v>
      </c>
      <c r="G46" t="s">
        <v>6210</v>
      </c>
      <c r="H46">
        <v>14604</v>
      </c>
      <c r="I46" t="s">
        <v>1938</v>
      </c>
      <c r="J46" t="s">
        <v>112</v>
      </c>
    </row>
    <row r="47" spans="1:10" x14ac:dyDescent="0.25">
      <c r="A47" t="s">
        <v>114</v>
      </c>
      <c r="B47" t="s">
        <v>2160</v>
      </c>
      <c r="C47" t="s">
        <v>2161</v>
      </c>
      <c r="D47" t="s">
        <v>2162</v>
      </c>
      <c r="E47" t="s">
        <v>2163</v>
      </c>
      <c r="F47" t="s">
        <v>2164</v>
      </c>
      <c r="G47" t="s">
        <v>6210</v>
      </c>
      <c r="H47">
        <v>10469</v>
      </c>
      <c r="I47" t="s">
        <v>1947</v>
      </c>
      <c r="J47" t="s">
        <v>114</v>
      </c>
    </row>
    <row r="48" spans="1:10" x14ac:dyDescent="0.25">
      <c r="A48" t="s">
        <v>117</v>
      </c>
      <c r="B48" t="s">
        <v>2165</v>
      </c>
      <c r="D48" t="s">
        <v>2166</v>
      </c>
      <c r="E48" t="s">
        <v>2167</v>
      </c>
      <c r="F48" t="s">
        <v>2168</v>
      </c>
      <c r="G48" t="s">
        <v>6210</v>
      </c>
      <c r="H48">
        <v>35205</v>
      </c>
      <c r="I48" t="s">
        <v>1938</v>
      </c>
      <c r="J48" t="s">
        <v>117</v>
      </c>
    </row>
    <row r="49" spans="1:10" x14ac:dyDescent="0.25">
      <c r="A49" t="s">
        <v>120</v>
      </c>
      <c r="B49" t="s">
        <v>2169</v>
      </c>
      <c r="C49" t="s">
        <v>2170</v>
      </c>
      <c r="D49" t="s">
        <v>2171</v>
      </c>
      <c r="E49" t="s">
        <v>2172</v>
      </c>
      <c r="F49" t="s">
        <v>2173</v>
      </c>
      <c r="G49" t="s">
        <v>6210</v>
      </c>
      <c r="H49">
        <v>92415</v>
      </c>
      <c r="I49" t="s">
        <v>1938</v>
      </c>
      <c r="J49" t="s">
        <v>120</v>
      </c>
    </row>
    <row r="50" spans="1:10" x14ac:dyDescent="0.25">
      <c r="A50" t="s">
        <v>123</v>
      </c>
      <c r="B50" t="s">
        <v>2174</v>
      </c>
      <c r="C50" t="s">
        <v>2175</v>
      </c>
      <c r="E50" t="s">
        <v>2176</v>
      </c>
      <c r="F50" t="s">
        <v>2177</v>
      </c>
      <c r="G50" t="s">
        <v>6210</v>
      </c>
      <c r="H50">
        <v>23514</v>
      </c>
      <c r="I50" t="s">
        <v>1947</v>
      </c>
      <c r="J50" t="s">
        <v>123</v>
      </c>
    </row>
    <row r="51" spans="1:10" x14ac:dyDescent="0.25">
      <c r="A51" t="s">
        <v>126</v>
      </c>
      <c r="B51" t="s">
        <v>2178</v>
      </c>
      <c r="C51" t="s">
        <v>2179</v>
      </c>
      <c r="D51" t="s">
        <v>2180</v>
      </c>
      <c r="E51" t="s">
        <v>2181</v>
      </c>
      <c r="F51" t="s">
        <v>2182</v>
      </c>
      <c r="G51" t="s">
        <v>6210</v>
      </c>
      <c r="H51">
        <v>20409</v>
      </c>
      <c r="I51" t="s">
        <v>1947</v>
      </c>
      <c r="J51" t="s">
        <v>126</v>
      </c>
    </row>
    <row r="52" spans="1:10" x14ac:dyDescent="0.25">
      <c r="A52" t="s">
        <v>128</v>
      </c>
      <c r="B52" t="s">
        <v>2183</v>
      </c>
      <c r="C52" t="s">
        <v>2184</v>
      </c>
      <c r="D52" t="s">
        <v>2185</v>
      </c>
      <c r="E52" t="s">
        <v>2186</v>
      </c>
      <c r="F52" t="s">
        <v>2187</v>
      </c>
      <c r="G52" t="s">
        <v>6210</v>
      </c>
      <c r="H52">
        <v>33355</v>
      </c>
      <c r="I52" t="s">
        <v>1947</v>
      </c>
      <c r="J52" t="s">
        <v>128</v>
      </c>
    </row>
    <row r="53" spans="1:10" x14ac:dyDescent="0.25">
      <c r="A53" t="s">
        <v>131</v>
      </c>
      <c r="B53" t="s">
        <v>2188</v>
      </c>
      <c r="C53" t="s">
        <v>2189</v>
      </c>
      <c r="D53" t="s">
        <v>2190</v>
      </c>
      <c r="E53" t="s">
        <v>2191</v>
      </c>
      <c r="F53" t="s">
        <v>1944</v>
      </c>
      <c r="G53" t="s">
        <v>1945</v>
      </c>
      <c r="H53" t="s">
        <v>1946</v>
      </c>
      <c r="I53" t="s">
        <v>1938</v>
      </c>
      <c r="J53" t="s">
        <v>131</v>
      </c>
    </row>
    <row r="54" spans="1:10" x14ac:dyDescent="0.25">
      <c r="A54" t="s">
        <v>133</v>
      </c>
      <c r="B54" t="s">
        <v>2192</v>
      </c>
      <c r="C54" t="s">
        <v>2193</v>
      </c>
      <c r="E54" t="s">
        <v>2194</v>
      </c>
      <c r="F54" t="s">
        <v>2195</v>
      </c>
      <c r="G54" t="s">
        <v>2112</v>
      </c>
      <c r="H54" t="s">
        <v>2196</v>
      </c>
      <c r="I54" t="s">
        <v>1947</v>
      </c>
      <c r="J54" t="s">
        <v>133</v>
      </c>
    </row>
    <row r="55" spans="1:10" x14ac:dyDescent="0.25">
      <c r="A55" t="s">
        <v>2197</v>
      </c>
      <c r="B55" t="s">
        <v>2198</v>
      </c>
      <c r="C55" t="s">
        <v>2199</v>
      </c>
      <c r="D55" t="s">
        <v>2200</v>
      </c>
      <c r="E55" t="s">
        <v>2201</v>
      </c>
      <c r="F55" t="s">
        <v>2202</v>
      </c>
      <c r="G55" t="s">
        <v>6210</v>
      </c>
      <c r="H55">
        <v>84605</v>
      </c>
      <c r="I55" t="s">
        <v>1947</v>
      </c>
      <c r="J55" t="s">
        <v>2197</v>
      </c>
    </row>
    <row r="56" spans="1:10" x14ac:dyDescent="0.25">
      <c r="A56" t="s">
        <v>135</v>
      </c>
      <c r="B56" t="s">
        <v>2203</v>
      </c>
      <c r="C56" t="s">
        <v>2204</v>
      </c>
      <c r="D56" t="s">
        <v>2205</v>
      </c>
      <c r="E56" t="s">
        <v>2206</v>
      </c>
      <c r="F56" t="s">
        <v>2207</v>
      </c>
      <c r="G56" t="s">
        <v>6210</v>
      </c>
      <c r="H56">
        <v>43666</v>
      </c>
      <c r="I56" t="s">
        <v>1947</v>
      </c>
      <c r="J56" t="s">
        <v>135</v>
      </c>
    </row>
    <row r="57" spans="1:10" x14ac:dyDescent="0.25">
      <c r="A57" t="s">
        <v>137</v>
      </c>
      <c r="B57" t="s">
        <v>2208</v>
      </c>
      <c r="D57" t="s">
        <v>2209</v>
      </c>
      <c r="E57" t="s">
        <v>2210</v>
      </c>
      <c r="F57" t="s">
        <v>2211</v>
      </c>
      <c r="G57" t="s">
        <v>6210</v>
      </c>
      <c r="H57">
        <v>8650</v>
      </c>
      <c r="I57" t="s">
        <v>1947</v>
      </c>
      <c r="J57" t="s">
        <v>137</v>
      </c>
    </row>
    <row r="58" spans="1:10" x14ac:dyDescent="0.25">
      <c r="A58" t="s">
        <v>140</v>
      </c>
      <c r="B58" t="s">
        <v>2212</v>
      </c>
      <c r="C58" t="s">
        <v>2213</v>
      </c>
      <c r="D58" t="s">
        <v>2214</v>
      </c>
      <c r="E58" t="s">
        <v>2215</v>
      </c>
      <c r="F58" t="s">
        <v>2216</v>
      </c>
      <c r="G58" t="s">
        <v>6210</v>
      </c>
      <c r="H58">
        <v>33686</v>
      </c>
      <c r="I58" t="s">
        <v>1938</v>
      </c>
      <c r="J58" t="s">
        <v>140</v>
      </c>
    </row>
    <row r="59" spans="1:10" x14ac:dyDescent="0.25">
      <c r="A59" t="s">
        <v>142</v>
      </c>
      <c r="B59" t="s">
        <v>2217</v>
      </c>
      <c r="C59" t="s">
        <v>2218</v>
      </c>
      <c r="D59" t="s">
        <v>2219</v>
      </c>
      <c r="E59" t="s">
        <v>2220</v>
      </c>
      <c r="F59" t="s">
        <v>2221</v>
      </c>
      <c r="G59" t="s">
        <v>6210</v>
      </c>
      <c r="H59">
        <v>32590</v>
      </c>
      <c r="I59" t="s">
        <v>1947</v>
      </c>
      <c r="J59" t="s">
        <v>142</v>
      </c>
    </row>
    <row r="60" spans="1:10" x14ac:dyDescent="0.25">
      <c r="A60" t="s">
        <v>145</v>
      </c>
      <c r="B60" t="s">
        <v>2222</v>
      </c>
      <c r="D60" t="s">
        <v>2223</v>
      </c>
      <c r="E60" t="s">
        <v>2224</v>
      </c>
      <c r="F60" t="s">
        <v>2225</v>
      </c>
      <c r="G60" t="s">
        <v>6210</v>
      </c>
      <c r="H60">
        <v>33543</v>
      </c>
      <c r="I60" t="s">
        <v>1938</v>
      </c>
      <c r="J60" t="s">
        <v>145</v>
      </c>
    </row>
    <row r="61" spans="1:10" x14ac:dyDescent="0.25">
      <c r="A61" t="s">
        <v>147</v>
      </c>
      <c r="B61" t="s">
        <v>2226</v>
      </c>
      <c r="C61" t="s">
        <v>2227</v>
      </c>
      <c r="E61" t="s">
        <v>2228</v>
      </c>
      <c r="F61" t="s">
        <v>2229</v>
      </c>
      <c r="G61" t="s">
        <v>6210</v>
      </c>
      <c r="H61">
        <v>55123</v>
      </c>
      <c r="I61" t="s">
        <v>1938</v>
      </c>
      <c r="J61" t="s">
        <v>147</v>
      </c>
    </row>
    <row r="62" spans="1:10" x14ac:dyDescent="0.25">
      <c r="A62" t="s">
        <v>149</v>
      </c>
      <c r="B62" t="s">
        <v>2230</v>
      </c>
      <c r="C62" t="s">
        <v>2231</v>
      </c>
      <c r="D62" t="s">
        <v>2232</v>
      </c>
      <c r="E62" t="s">
        <v>2233</v>
      </c>
      <c r="F62" t="s">
        <v>2234</v>
      </c>
      <c r="G62" t="s">
        <v>6210</v>
      </c>
      <c r="H62">
        <v>46862</v>
      </c>
      <c r="I62" t="s">
        <v>1947</v>
      </c>
      <c r="J62" t="s">
        <v>149</v>
      </c>
    </row>
    <row r="63" spans="1:10" x14ac:dyDescent="0.25">
      <c r="A63" t="s">
        <v>151</v>
      </c>
      <c r="B63" t="s">
        <v>2235</v>
      </c>
      <c r="D63" t="s">
        <v>2236</v>
      </c>
      <c r="E63" t="s">
        <v>2237</v>
      </c>
      <c r="F63" t="s">
        <v>2238</v>
      </c>
      <c r="G63" t="s">
        <v>2112</v>
      </c>
      <c r="H63" t="s">
        <v>2239</v>
      </c>
      <c r="I63" t="s">
        <v>1938</v>
      </c>
      <c r="J63" t="s">
        <v>151</v>
      </c>
    </row>
    <row r="64" spans="1:10" x14ac:dyDescent="0.25">
      <c r="A64" t="s">
        <v>154</v>
      </c>
      <c r="B64" t="s">
        <v>2240</v>
      </c>
      <c r="D64" t="s">
        <v>2241</v>
      </c>
      <c r="E64" t="s">
        <v>2242</v>
      </c>
      <c r="F64" t="s">
        <v>2243</v>
      </c>
      <c r="G64" t="s">
        <v>6210</v>
      </c>
      <c r="H64">
        <v>34114</v>
      </c>
      <c r="I64" t="s">
        <v>1938</v>
      </c>
      <c r="J64" t="s">
        <v>154</v>
      </c>
    </row>
    <row r="65" spans="1:10" x14ac:dyDescent="0.25">
      <c r="A65" t="s">
        <v>156</v>
      </c>
      <c r="B65" t="s">
        <v>2244</v>
      </c>
      <c r="C65" t="s">
        <v>2245</v>
      </c>
      <c r="D65" t="s">
        <v>2246</v>
      </c>
      <c r="E65" t="s">
        <v>2247</v>
      </c>
      <c r="F65" t="s">
        <v>2248</v>
      </c>
      <c r="G65" t="s">
        <v>6210</v>
      </c>
      <c r="H65">
        <v>60681</v>
      </c>
      <c r="I65" t="s">
        <v>1947</v>
      </c>
      <c r="J65" t="s">
        <v>156</v>
      </c>
    </row>
    <row r="66" spans="1:10" x14ac:dyDescent="0.25">
      <c r="A66" t="s">
        <v>158</v>
      </c>
      <c r="B66" t="s">
        <v>2249</v>
      </c>
      <c r="D66" t="s">
        <v>2250</v>
      </c>
      <c r="E66" t="s">
        <v>2251</v>
      </c>
      <c r="F66" t="s">
        <v>2252</v>
      </c>
      <c r="G66" t="s">
        <v>6210</v>
      </c>
      <c r="H66">
        <v>7104</v>
      </c>
      <c r="I66" t="s">
        <v>1938</v>
      </c>
      <c r="J66" t="s">
        <v>158</v>
      </c>
    </row>
    <row r="67" spans="1:10" x14ac:dyDescent="0.25">
      <c r="A67" t="s">
        <v>160</v>
      </c>
      <c r="B67" t="s">
        <v>2253</v>
      </c>
      <c r="C67" t="s">
        <v>2254</v>
      </c>
      <c r="D67" t="s">
        <v>2255</v>
      </c>
      <c r="E67" t="s">
        <v>2256</v>
      </c>
      <c r="F67" t="s">
        <v>2257</v>
      </c>
      <c r="G67" t="s">
        <v>6210</v>
      </c>
      <c r="H67">
        <v>22184</v>
      </c>
      <c r="I67" t="s">
        <v>1938</v>
      </c>
      <c r="J67" t="s">
        <v>160</v>
      </c>
    </row>
    <row r="68" spans="1:10" x14ac:dyDescent="0.25">
      <c r="A68" t="s">
        <v>162</v>
      </c>
      <c r="B68" t="s">
        <v>2258</v>
      </c>
      <c r="C68" t="s">
        <v>2259</v>
      </c>
      <c r="D68" t="s">
        <v>2260</v>
      </c>
      <c r="E68" t="s">
        <v>2261</v>
      </c>
      <c r="F68" t="s">
        <v>2262</v>
      </c>
      <c r="G68" t="s">
        <v>6210</v>
      </c>
      <c r="H68">
        <v>76178</v>
      </c>
      <c r="I68" t="s">
        <v>1938</v>
      </c>
      <c r="J68" t="s">
        <v>162</v>
      </c>
    </row>
    <row r="69" spans="1:10" x14ac:dyDescent="0.25">
      <c r="A69" t="s">
        <v>165</v>
      </c>
      <c r="B69" t="s">
        <v>2263</v>
      </c>
      <c r="C69" t="s">
        <v>2264</v>
      </c>
      <c r="D69" t="s">
        <v>2265</v>
      </c>
      <c r="E69" t="s">
        <v>2266</v>
      </c>
      <c r="F69" t="s">
        <v>2267</v>
      </c>
      <c r="G69" t="s">
        <v>6210</v>
      </c>
      <c r="H69">
        <v>91505</v>
      </c>
      <c r="I69" t="s">
        <v>1947</v>
      </c>
      <c r="J69" t="s">
        <v>165</v>
      </c>
    </row>
    <row r="70" spans="1:10" x14ac:dyDescent="0.25">
      <c r="A70" t="s">
        <v>167</v>
      </c>
      <c r="B70" t="s">
        <v>2268</v>
      </c>
      <c r="C70" t="s">
        <v>2269</v>
      </c>
      <c r="D70" t="s">
        <v>2270</v>
      </c>
      <c r="E70" t="s">
        <v>2271</v>
      </c>
      <c r="F70" t="s">
        <v>2272</v>
      </c>
      <c r="G70" t="s">
        <v>6210</v>
      </c>
      <c r="H70">
        <v>37665</v>
      </c>
      <c r="I70" t="s">
        <v>1947</v>
      </c>
      <c r="J70" t="s">
        <v>167</v>
      </c>
    </row>
    <row r="71" spans="1:10" x14ac:dyDescent="0.25">
      <c r="A71" t="s">
        <v>170</v>
      </c>
      <c r="B71" t="s">
        <v>2273</v>
      </c>
      <c r="C71" t="s">
        <v>2274</v>
      </c>
      <c r="D71" t="s">
        <v>2275</v>
      </c>
      <c r="E71" t="s">
        <v>2276</v>
      </c>
      <c r="F71" t="s">
        <v>2277</v>
      </c>
      <c r="G71" t="s">
        <v>2112</v>
      </c>
      <c r="H71" t="s">
        <v>2278</v>
      </c>
      <c r="I71" t="s">
        <v>1938</v>
      </c>
      <c r="J71" t="s">
        <v>170</v>
      </c>
    </row>
    <row r="72" spans="1:10" x14ac:dyDescent="0.25">
      <c r="A72" t="s">
        <v>172</v>
      </c>
      <c r="B72" t="s">
        <v>2279</v>
      </c>
      <c r="C72" t="s">
        <v>2280</v>
      </c>
      <c r="D72" t="s">
        <v>2281</v>
      </c>
      <c r="E72" t="s">
        <v>2282</v>
      </c>
      <c r="F72" t="s">
        <v>2283</v>
      </c>
      <c r="G72" t="s">
        <v>6210</v>
      </c>
      <c r="H72">
        <v>43231</v>
      </c>
      <c r="I72" t="s">
        <v>1947</v>
      </c>
      <c r="J72" t="s">
        <v>172</v>
      </c>
    </row>
    <row r="73" spans="1:10" x14ac:dyDescent="0.25">
      <c r="A73" t="s">
        <v>174</v>
      </c>
      <c r="B73" t="s">
        <v>2284</v>
      </c>
      <c r="C73" t="s">
        <v>2285</v>
      </c>
      <c r="D73" t="s">
        <v>2286</v>
      </c>
      <c r="E73" t="s">
        <v>2287</v>
      </c>
      <c r="F73" t="s">
        <v>2288</v>
      </c>
      <c r="G73" t="s">
        <v>1945</v>
      </c>
      <c r="H73" t="s">
        <v>2289</v>
      </c>
      <c r="I73" t="s">
        <v>1947</v>
      </c>
      <c r="J73" t="s">
        <v>174</v>
      </c>
    </row>
    <row r="74" spans="1:10" x14ac:dyDescent="0.25">
      <c r="A74" t="s">
        <v>176</v>
      </c>
      <c r="B74" t="s">
        <v>2290</v>
      </c>
      <c r="D74" t="s">
        <v>2291</v>
      </c>
      <c r="E74" t="s">
        <v>2292</v>
      </c>
      <c r="F74" t="s">
        <v>2140</v>
      </c>
      <c r="G74" t="s">
        <v>6210</v>
      </c>
      <c r="H74">
        <v>70183</v>
      </c>
      <c r="I74" t="s">
        <v>1947</v>
      </c>
      <c r="J74" t="s">
        <v>176</v>
      </c>
    </row>
    <row r="75" spans="1:10" x14ac:dyDescent="0.25">
      <c r="A75" t="s">
        <v>179</v>
      </c>
      <c r="B75" t="s">
        <v>2293</v>
      </c>
      <c r="D75" t="s">
        <v>2294</v>
      </c>
      <c r="E75" t="s">
        <v>2295</v>
      </c>
      <c r="F75" t="s">
        <v>2296</v>
      </c>
      <c r="G75" t="s">
        <v>6210</v>
      </c>
      <c r="H75">
        <v>28230</v>
      </c>
      <c r="I75" t="s">
        <v>1938</v>
      </c>
      <c r="J75" t="s">
        <v>179</v>
      </c>
    </row>
    <row r="76" spans="1:10" x14ac:dyDescent="0.25">
      <c r="A76" t="s">
        <v>181</v>
      </c>
      <c r="B76" t="s">
        <v>2297</v>
      </c>
      <c r="C76" t="s">
        <v>2298</v>
      </c>
      <c r="D76" t="s">
        <v>2299</v>
      </c>
      <c r="E76" t="s">
        <v>2300</v>
      </c>
      <c r="F76" t="s">
        <v>1958</v>
      </c>
      <c r="G76" t="s">
        <v>6210</v>
      </c>
      <c r="H76">
        <v>1114</v>
      </c>
      <c r="I76" t="s">
        <v>1938</v>
      </c>
      <c r="J76" t="s">
        <v>181</v>
      </c>
    </row>
    <row r="77" spans="1:10" x14ac:dyDescent="0.25">
      <c r="A77" t="s">
        <v>184</v>
      </c>
      <c r="B77" t="s">
        <v>2301</v>
      </c>
      <c r="C77" t="s">
        <v>2302</v>
      </c>
      <c r="D77" t="s">
        <v>2303</v>
      </c>
      <c r="E77" t="s">
        <v>2304</v>
      </c>
      <c r="F77" t="s">
        <v>2305</v>
      </c>
      <c r="G77" t="s">
        <v>1945</v>
      </c>
      <c r="H77" t="s">
        <v>2306</v>
      </c>
      <c r="I77" t="s">
        <v>1938</v>
      </c>
      <c r="J77" t="s">
        <v>184</v>
      </c>
    </row>
    <row r="78" spans="1:10" x14ac:dyDescent="0.25">
      <c r="A78" t="s">
        <v>187</v>
      </c>
      <c r="B78" t="s">
        <v>2307</v>
      </c>
      <c r="D78" t="s">
        <v>2308</v>
      </c>
      <c r="E78" t="s">
        <v>2309</v>
      </c>
      <c r="F78" t="s">
        <v>2310</v>
      </c>
      <c r="G78" t="s">
        <v>1945</v>
      </c>
      <c r="H78" t="s">
        <v>2311</v>
      </c>
      <c r="I78" t="s">
        <v>1938</v>
      </c>
      <c r="J78" t="s">
        <v>187</v>
      </c>
    </row>
    <row r="79" spans="1:10" x14ac:dyDescent="0.25">
      <c r="A79" t="s">
        <v>190</v>
      </c>
      <c r="B79" t="s">
        <v>2312</v>
      </c>
      <c r="C79" t="s">
        <v>2313</v>
      </c>
      <c r="D79" t="s">
        <v>2314</v>
      </c>
      <c r="E79" t="s">
        <v>2315</v>
      </c>
      <c r="F79" t="s">
        <v>2316</v>
      </c>
      <c r="G79" t="s">
        <v>6210</v>
      </c>
      <c r="H79">
        <v>79705</v>
      </c>
      <c r="I79" t="s">
        <v>1947</v>
      </c>
      <c r="J79" t="s">
        <v>190</v>
      </c>
    </row>
    <row r="80" spans="1:10" x14ac:dyDescent="0.25">
      <c r="A80" t="s">
        <v>192</v>
      </c>
      <c r="B80" t="s">
        <v>2317</v>
      </c>
      <c r="C80" t="s">
        <v>2318</v>
      </c>
      <c r="D80" t="s">
        <v>2319</v>
      </c>
      <c r="E80" t="s">
        <v>2320</v>
      </c>
      <c r="F80" t="s">
        <v>2321</v>
      </c>
      <c r="G80" t="s">
        <v>6210</v>
      </c>
      <c r="H80">
        <v>75323</v>
      </c>
      <c r="I80" t="s">
        <v>1938</v>
      </c>
      <c r="J80" t="s">
        <v>192</v>
      </c>
    </row>
    <row r="81" spans="1:10" x14ac:dyDescent="0.25">
      <c r="A81" t="s">
        <v>194</v>
      </c>
      <c r="B81" t="s">
        <v>2322</v>
      </c>
      <c r="C81" t="s">
        <v>2323</v>
      </c>
      <c r="D81" t="s">
        <v>2324</v>
      </c>
      <c r="E81" t="s">
        <v>2325</v>
      </c>
      <c r="F81" t="s">
        <v>2326</v>
      </c>
      <c r="G81" t="s">
        <v>6210</v>
      </c>
      <c r="H81">
        <v>20189</v>
      </c>
      <c r="I81" t="s">
        <v>1947</v>
      </c>
      <c r="J81" t="s">
        <v>194</v>
      </c>
    </row>
    <row r="82" spans="1:10" x14ac:dyDescent="0.25">
      <c r="A82" t="s">
        <v>197</v>
      </c>
      <c r="B82" t="s">
        <v>2327</v>
      </c>
      <c r="C82" t="s">
        <v>2328</v>
      </c>
      <c r="D82" t="s">
        <v>2329</v>
      </c>
      <c r="E82" t="s">
        <v>2330</v>
      </c>
      <c r="F82" t="s">
        <v>2331</v>
      </c>
      <c r="G82" t="s">
        <v>6210</v>
      </c>
      <c r="H82">
        <v>94627</v>
      </c>
      <c r="I82" t="s">
        <v>1938</v>
      </c>
      <c r="J82" t="s">
        <v>197</v>
      </c>
    </row>
    <row r="83" spans="1:10" x14ac:dyDescent="0.25">
      <c r="A83" t="s">
        <v>200</v>
      </c>
      <c r="B83" t="s">
        <v>2332</v>
      </c>
      <c r="C83" t="s">
        <v>2333</v>
      </c>
      <c r="D83" t="s">
        <v>2334</v>
      </c>
      <c r="E83" t="s">
        <v>2335</v>
      </c>
      <c r="F83" t="s">
        <v>2336</v>
      </c>
      <c r="G83" t="s">
        <v>6210</v>
      </c>
      <c r="H83">
        <v>80930</v>
      </c>
      <c r="I83" t="s">
        <v>1938</v>
      </c>
      <c r="J83" t="s">
        <v>200</v>
      </c>
    </row>
    <row r="84" spans="1:10" x14ac:dyDescent="0.25">
      <c r="A84" t="s">
        <v>202</v>
      </c>
      <c r="B84" t="s">
        <v>2337</v>
      </c>
      <c r="C84" t="s">
        <v>2338</v>
      </c>
      <c r="D84" t="s">
        <v>2339</v>
      </c>
      <c r="E84" t="s">
        <v>2340</v>
      </c>
      <c r="F84" t="s">
        <v>2341</v>
      </c>
      <c r="G84" t="s">
        <v>1945</v>
      </c>
      <c r="H84" t="s">
        <v>2342</v>
      </c>
      <c r="I84" t="s">
        <v>1938</v>
      </c>
      <c r="J84" t="s">
        <v>202</v>
      </c>
    </row>
    <row r="85" spans="1:10" x14ac:dyDescent="0.25">
      <c r="A85" t="s">
        <v>205</v>
      </c>
      <c r="B85" t="s">
        <v>2343</v>
      </c>
      <c r="D85" t="s">
        <v>2344</v>
      </c>
      <c r="E85" t="s">
        <v>2345</v>
      </c>
      <c r="F85" t="s">
        <v>2346</v>
      </c>
      <c r="G85" t="s">
        <v>6210</v>
      </c>
      <c r="H85">
        <v>14205</v>
      </c>
      <c r="I85" t="s">
        <v>1938</v>
      </c>
      <c r="J85" t="s">
        <v>205</v>
      </c>
    </row>
    <row r="86" spans="1:10" x14ac:dyDescent="0.25">
      <c r="A86" t="s">
        <v>207</v>
      </c>
      <c r="B86" t="s">
        <v>2347</v>
      </c>
      <c r="C86" t="s">
        <v>2348</v>
      </c>
      <c r="D86" t="s">
        <v>2349</v>
      </c>
      <c r="E86" t="s">
        <v>2350</v>
      </c>
      <c r="F86" t="s">
        <v>2351</v>
      </c>
      <c r="G86" t="s">
        <v>6210</v>
      </c>
      <c r="H86">
        <v>93715</v>
      </c>
      <c r="I86" t="s">
        <v>1947</v>
      </c>
      <c r="J86" t="s">
        <v>207</v>
      </c>
    </row>
    <row r="87" spans="1:10" x14ac:dyDescent="0.25">
      <c r="A87" t="s">
        <v>209</v>
      </c>
      <c r="B87" t="s">
        <v>2352</v>
      </c>
      <c r="C87" t="s">
        <v>2353</v>
      </c>
      <c r="E87" t="s">
        <v>2354</v>
      </c>
      <c r="F87" t="s">
        <v>2262</v>
      </c>
      <c r="G87" t="s">
        <v>6210</v>
      </c>
      <c r="H87">
        <v>76121</v>
      </c>
      <c r="I87" t="s">
        <v>1947</v>
      </c>
      <c r="J87" t="s">
        <v>209</v>
      </c>
    </row>
    <row r="88" spans="1:10" x14ac:dyDescent="0.25">
      <c r="A88" t="s">
        <v>306</v>
      </c>
      <c r="B88" t="s">
        <v>2355</v>
      </c>
      <c r="C88" t="s">
        <v>2356</v>
      </c>
      <c r="E88" t="s">
        <v>2357</v>
      </c>
      <c r="F88" t="s">
        <v>2358</v>
      </c>
      <c r="G88" t="s">
        <v>6210</v>
      </c>
      <c r="H88">
        <v>73179</v>
      </c>
      <c r="I88" t="s">
        <v>1938</v>
      </c>
      <c r="J88" t="s">
        <v>306</v>
      </c>
    </row>
    <row r="89" spans="1:10" x14ac:dyDescent="0.25">
      <c r="A89" t="s">
        <v>212</v>
      </c>
      <c r="B89" t="s">
        <v>2359</v>
      </c>
      <c r="C89" t="s">
        <v>2360</v>
      </c>
      <c r="E89" t="s">
        <v>2361</v>
      </c>
      <c r="F89" t="s">
        <v>2362</v>
      </c>
      <c r="G89" t="s">
        <v>6210</v>
      </c>
      <c r="H89">
        <v>77705</v>
      </c>
      <c r="I89" t="s">
        <v>1947</v>
      </c>
      <c r="J89" t="s">
        <v>212</v>
      </c>
    </row>
    <row r="90" spans="1:10" x14ac:dyDescent="0.25">
      <c r="A90" t="s">
        <v>214</v>
      </c>
      <c r="B90" t="s">
        <v>2363</v>
      </c>
      <c r="C90" t="s">
        <v>2364</v>
      </c>
      <c r="E90" t="s">
        <v>2365</v>
      </c>
      <c r="F90" t="s">
        <v>2366</v>
      </c>
      <c r="G90" t="s">
        <v>6210</v>
      </c>
      <c r="H90">
        <v>89519</v>
      </c>
      <c r="I90" t="s">
        <v>1947</v>
      </c>
      <c r="J90" t="s">
        <v>214</v>
      </c>
    </row>
    <row r="91" spans="1:10" x14ac:dyDescent="0.25">
      <c r="A91" t="s">
        <v>216</v>
      </c>
      <c r="B91" t="s">
        <v>2367</v>
      </c>
      <c r="C91" t="s">
        <v>2368</v>
      </c>
      <c r="D91" t="s">
        <v>2369</v>
      </c>
      <c r="E91" t="s">
        <v>2370</v>
      </c>
      <c r="F91" t="s">
        <v>2371</v>
      </c>
      <c r="G91" t="s">
        <v>6210</v>
      </c>
      <c r="H91">
        <v>64136</v>
      </c>
      <c r="I91" t="s">
        <v>1947</v>
      </c>
      <c r="J91" t="s">
        <v>216</v>
      </c>
    </row>
    <row r="92" spans="1:10" x14ac:dyDescent="0.25">
      <c r="A92" t="s">
        <v>218</v>
      </c>
      <c r="B92" t="s">
        <v>2372</v>
      </c>
      <c r="D92" t="s">
        <v>2373</v>
      </c>
      <c r="E92" t="s">
        <v>2374</v>
      </c>
      <c r="F92" t="s">
        <v>1944</v>
      </c>
      <c r="G92" t="s">
        <v>1945</v>
      </c>
      <c r="H92" t="s">
        <v>1946</v>
      </c>
      <c r="I92" t="s">
        <v>1938</v>
      </c>
      <c r="J92" t="s">
        <v>218</v>
      </c>
    </row>
    <row r="93" spans="1:10" x14ac:dyDescent="0.25">
      <c r="A93" t="s">
        <v>220</v>
      </c>
      <c r="B93" t="s">
        <v>2375</v>
      </c>
      <c r="C93" t="s">
        <v>2376</v>
      </c>
      <c r="D93" t="s">
        <v>2377</v>
      </c>
      <c r="E93" t="s">
        <v>2378</v>
      </c>
      <c r="F93" t="s">
        <v>2379</v>
      </c>
      <c r="G93" t="s">
        <v>6210</v>
      </c>
      <c r="H93">
        <v>92878</v>
      </c>
      <c r="I93" t="s">
        <v>1947</v>
      </c>
      <c r="J93" t="s">
        <v>220</v>
      </c>
    </row>
    <row r="94" spans="1:10" x14ac:dyDescent="0.25">
      <c r="A94" t="s">
        <v>222</v>
      </c>
      <c r="B94" t="s">
        <v>2380</v>
      </c>
      <c r="D94" t="s">
        <v>2381</v>
      </c>
      <c r="E94" t="s">
        <v>2382</v>
      </c>
      <c r="F94" t="s">
        <v>2383</v>
      </c>
      <c r="G94" t="s">
        <v>6210</v>
      </c>
      <c r="H94">
        <v>78759</v>
      </c>
      <c r="I94" t="s">
        <v>1938</v>
      </c>
      <c r="J94" t="s">
        <v>222</v>
      </c>
    </row>
    <row r="95" spans="1:10" x14ac:dyDescent="0.25">
      <c r="A95" t="s">
        <v>224</v>
      </c>
      <c r="B95" t="s">
        <v>2384</v>
      </c>
      <c r="C95" t="s">
        <v>2385</v>
      </c>
      <c r="D95" t="s">
        <v>2386</v>
      </c>
      <c r="E95" t="s">
        <v>2387</v>
      </c>
      <c r="F95" t="s">
        <v>2388</v>
      </c>
      <c r="G95" t="s">
        <v>2112</v>
      </c>
      <c r="H95" t="s">
        <v>2389</v>
      </c>
      <c r="I95" t="s">
        <v>1938</v>
      </c>
      <c r="J95" t="s">
        <v>224</v>
      </c>
    </row>
    <row r="96" spans="1:10" x14ac:dyDescent="0.25">
      <c r="A96" t="s">
        <v>226</v>
      </c>
      <c r="B96" t="s">
        <v>2390</v>
      </c>
      <c r="E96" t="s">
        <v>2391</v>
      </c>
      <c r="F96" t="s">
        <v>2392</v>
      </c>
      <c r="G96" t="s">
        <v>1945</v>
      </c>
      <c r="H96" t="s">
        <v>2393</v>
      </c>
      <c r="I96" t="s">
        <v>1938</v>
      </c>
      <c r="J96" t="s">
        <v>226</v>
      </c>
    </row>
    <row r="97" spans="1:10" x14ac:dyDescent="0.25">
      <c r="A97" t="s">
        <v>228</v>
      </c>
      <c r="B97" t="s">
        <v>2394</v>
      </c>
      <c r="C97" t="s">
        <v>2395</v>
      </c>
      <c r="E97" t="s">
        <v>2396</v>
      </c>
      <c r="F97" t="s">
        <v>2351</v>
      </c>
      <c r="G97" t="s">
        <v>6210</v>
      </c>
      <c r="H97">
        <v>93762</v>
      </c>
      <c r="I97" t="s">
        <v>1947</v>
      </c>
      <c r="J97" t="s">
        <v>228</v>
      </c>
    </row>
    <row r="98" spans="1:10" x14ac:dyDescent="0.25">
      <c r="A98" t="s">
        <v>230</v>
      </c>
      <c r="B98" t="s">
        <v>2397</v>
      </c>
      <c r="C98" t="s">
        <v>2398</v>
      </c>
      <c r="E98" t="s">
        <v>2399</v>
      </c>
      <c r="F98" t="s">
        <v>2009</v>
      </c>
      <c r="G98" t="s">
        <v>6210</v>
      </c>
      <c r="H98">
        <v>63150</v>
      </c>
      <c r="I98" t="s">
        <v>1947</v>
      </c>
      <c r="J98" t="s">
        <v>230</v>
      </c>
    </row>
    <row r="99" spans="1:10" x14ac:dyDescent="0.25">
      <c r="A99" t="s">
        <v>232</v>
      </c>
      <c r="B99" t="s">
        <v>2400</v>
      </c>
      <c r="C99" t="s">
        <v>2401</v>
      </c>
      <c r="D99" t="s">
        <v>2402</v>
      </c>
      <c r="E99" t="s">
        <v>2403</v>
      </c>
      <c r="F99" t="s">
        <v>2351</v>
      </c>
      <c r="G99" t="s">
        <v>6210</v>
      </c>
      <c r="H99">
        <v>93726</v>
      </c>
      <c r="I99" t="s">
        <v>1947</v>
      </c>
      <c r="J99" t="s">
        <v>232</v>
      </c>
    </row>
    <row r="100" spans="1:10" x14ac:dyDescent="0.25">
      <c r="A100" t="s">
        <v>234</v>
      </c>
      <c r="B100" t="s">
        <v>2404</v>
      </c>
      <c r="D100" t="s">
        <v>2405</v>
      </c>
      <c r="E100" t="s">
        <v>2406</v>
      </c>
      <c r="F100" t="s">
        <v>2407</v>
      </c>
      <c r="G100" t="s">
        <v>1945</v>
      </c>
      <c r="H100" t="s">
        <v>2408</v>
      </c>
      <c r="I100" t="s">
        <v>1947</v>
      </c>
      <c r="J100" t="s">
        <v>234</v>
      </c>
    </row>
    <row r="101" spans="1:10" x14ac:dyDescent="0.25">
      <c r="A101" t="s">
        <v>236</v>
      </c>
      <c r="B101" t="s">
        <v>2409</v>
      </c>
      <c r="D101" t="s">
        <v>2410</v>
      </c>
      <c r="E101" t="s">
        <v>2411</v>
      </c>
      <c r="F101" t="s">
        <v>2283</v>
      </c>
      <c r="G101" t="s">
        <v>6210</v>
      </c>
      <c r="H101">
        <v>43210</v>
      </c>
      <c r="I101" t="s">
        <v>1938</v>
      </c>
      <c r="J101" t="s">
        <v>236</v>
      </c>
    </row>
    <row r="102" spans="1:10" x14ac:dyDescent="0.25">
      <c r="A102" t="s">
        <v>238</v>
      </c>
      <c r="B102" t="s">
        <v>2412</v>
      </c>
      <c r="D102" t="s">
        <v>2413</v>
      </c>
      <c r="E102" t="s">
        <v>2414</v>
      </c>
      <c r="F102" t="s">
        <v>2415</v>
      </c>
      <c r="G102" t="s">
        <v>6210</v>
      </c>
      <c r="H102">
        <v>95205</v>
      </c>
      <c r="I102" t="s">
        <v>1938</v>
      </c>
      <c r="J102" t="s">
        <v>238</v>
      </c>
    </row>
    <row r="103" spans="1:10" x14ac:dyDescent="0.25">
      <c r="A103" t="s">
        <v>240</v>
      </c>
      <c r="B103" t="s">
        <v>2416</v>
      </c>
      <c r="C103" t="s">
        <v>2417</v>
      </c>
      <c r="D103" t="s">
        <v>2418</v>
      </c>
      <c r="E103" t="s">
        <v>2419</v>
      </c>
      <c r="F103" t="s">
        <v>2420</v>
      </c>
      <c r="G103" t="s">
        <v>1945</v>
      </c>
      <c r="H103" t="s">
        <v>2421</v>
      </c>
      <c r="I103" t="s">
        <v>1938</v>
      </c>
      <c r="J103" t="s">
        <v>240</v>
      </c>
    </row>
    <row r="104" spans="1:10" x14ac:dyDescent="0.25">
      <c r="A104" t="s">
        <v>242</v>
      </c>
      <c r="B104" t="s">
        <v>2422</v>
      </c>
      <c r="C104" t="s">
        <v>2423</v>
      </c>
      <c r="D104" t="s">
        <v>2424</v>
      </c>
      <c r="E104" t="s">
        <v>2425</v>
      </c>
      <c r="F104" t="s">
        <v>2426</v>
      </c>
      <c r="G104" t="s">
        <v>1945</v>
      </c>
      <c r="H104" t="s">
        <v>2408</v>
      </c>
      <c r="I104" t="s">
        <v>1938</v>
      </c>
      <c r="J104" t="s">
        <v>242</v>
      </c>
    </row>
    <row r="105" spans="1:10" x14ac:dyDescent="0.25">
      <c r="A105" t="s">
        <v>244</v>
      </c>
      <c r="B105" t="s">
        <v>2427</v>
      </c>
      <c r="C105" t="s">
        <v>2428</v>
      </c>
      <c r="D105" t="s">
        <v>2429</v>
      </c>
      <c r="E105" t="s">
        <v>2430</v>
      </c>
      <c r="F105" t="s">
        <v>2159</v>
      </c>
      <c r="G105" t="s">
        <v>6210</v>
      </c>
      <c r="H105">
        <v>14652</v>
      </c>
      <c r="I105" t="s">
        <v>1947</v>
      </c>
      <c r="J105" t="s">
        <v>244</v>
      </c>
    </row>
    <row r="106" spans="1:10" x14ac:dyDescent="0.25">
      <c r="A106" t="s">
        <v>246</v>
      </c>
      <c r="B106" t="s">
        <v>2431</v>
      </c>
      <c r="C106" t="s">
        <v>2432</v>
      </c>
      <c r="D106" t="s">
        <v>2433</v>
      </c>
      <c r="E106" t="s">
        <v>2434</v>
      </c>
      <c r="F106" t="s">
        <v>2435</v>
      </c>
      <c r="G106" t="s">
        <v>6210</v>
      </c>
      <c r="H106">
        <v>35487</v>
      </c>
      <c r="I106" t="s">
        <v>1947</v>
      </c>
      <c r="J106" t="s">
        <v>246</v>
      </c>
    </row>
    <row r="107" spans="1:10" x14ac:dyDescent="0.25">
      <c r="A107" t="s">
        <v>248</v>
      </c>
      <c r="B107" t="s">
        <v>2436</v>
      </c>
      <c r="C107" t="s">
        <v>2437</v>
      </c>
      <c r="D107" t="s">
        <v>2438</v>
      </c>
      <c r="E107" t="s">
        <v>2439</v>
      </c>
      <c r="F107" t="s">
        <v>2023</v>
      </c>
      <c r="G107" t="s">
        <v>6210</v>
      </c>
      <c r="H107">
        <v>77260</v>
      </c>
      <c r="I107" t="s">
        <v>1938</v>
      </c>
      <c r="J107" t="s">
        <v>248</v>
      </c>
    </row>
    <row r="108" spans="1:10" x14ac:dyDescent="0.25">
      <c r="A108" t="s">
        <v>250</v>
      </c>
      <c r="B108" t="s">
        <v>2440</v>
      </c>
      <c r="C108" t="s">
        <v>2441</v>
      </c>
      <c r="D108" t="s">
        <v>2442</v>
      </c>
      <c r="E108" t="s">
        <v>2443</v>
      </c>
      <c r="F108" t="s">
        <v>2444</v>
      </c>
      <c r="G108" t="s">
        <v>6210</v>
      </c>
      <c r="H108">
        <v>88514</v>
      </c>
      <c r="I108" t="s">
        <v>1947</v>
      </c>
      <c r="J108" t="s">
        <v>250</v>
      </c>
    </row>
    <row r="109" spans="1:10" x14ac:dyDescent="0.25">
      <c r="A109" t="s">
        <v>253</v>
      </c>
      <c r="B109" t="s">
        <v>2445</v>
      </c>
      <c r="C109" t="s">
        <v>2446</v>
      </c>
      <c r="D109" t="s">
        <v>2447</v>
      </c>
      <c r="E109" t="s">
        <v>2448</v>
      </c>
      <c r="F109" t="s">
        <v>2336</v>
      </c>
      <c r="G109" t="s">
        <v>6210</v>
      </c>
      <c r="H109">
        <v>80935</v>
      </c>
      <c r="I109" t="s">
        <v>1938</v>
      </c>
      <c r="J109" t="s">
        <v>253</v>
      </c>
    </row>
    <row r="110" spans="1:10" x14ac:dyDescent="0.25">
      <c r="A110" t="s">
        <v>255</v>
      </c>
      <c r="B110" t="s">
        <v>2449</v>
      </c>
      <c r="D110" t="s">
        <v>2450</v>
      </c>
      <c r="E110" t="s">
        <v>2451</v>
      </c>
      <c r="F110" t="s">
        <v>2234</v>
      </c>
      <c r="G110" t="s">
        <v>6210</v>
      </c>
      <c r="H110">
        <v>46862</v>
      </c>
      <c r="I110" t="s">
        <v>1947</v>
      </c>
      <c r="J110" t="s">
        <v>255</v>
      </c>
    </row>
    <row r="111" spans="1:10" x14ac:dyDescent="0.25">
      <c r="A111" t="s">
        <v>257</v>
      </c>
      <c r="B111" t="s">
        <v>2452</v>
      </c>
      <c r="C111" t="s">
        <v>2453</v>
      </c>
      <c r="D111" t="s">
        <v>2454</v>
      </c>
      <c r="E111" t="s">
        <v>2455</v>
      </c>
      <c r="F111" t="s">
        <v>2456</v>
      </c>
      <c r="G111" t="s">
        <v>6210</v>
      </c>
      <c r="H111">
        <v>11054</v>
      </c>
      <c r="I111" t="s">
        <v>1938</v>
      </c>
      <c r="J111" t="s">
        <v>257</v>
      </c>
    </row>
    <row r="112" spans="1:10" x14ac:dyDescent="0.25">
      <c r="A112" t="s">
        <v>259</v>
      </c>
      <c r="B112" t="s">
        <v>2457</v>
      </c>
      <c r="C112" t="s">
        <v>2458</v>
      </c>
      <c r="D112" t="s">
        <v>2459</v>
      </c>
      <c r="E112" t="s">
        <v>2460</v>
      </c>
      <c r="F112" t="s">
        <v>1958</v>
      </c>
      <c r="G112" t="s">
        <v>6210</v>
      </c>
      <c r="H112">
        <v>1105</v>
      </c>
      <c r="I112" t="s">
        <v>1938</v>
      </c>
      <c r="J112" t="s">
        <v>259</v>
      </c>
    </row>
    <row r="113" spans="1:10" x14ac:dyDescent="0.25">
      <c r="A113" t="s">
        <v>262</v>
      </c>
      <c r="B113" t="s">
        <v>2461</v>
      </c>
      <c r="C113" t="s">
        <v>2462</v>
      </c>
      <c r="E113" t="s">
        <v>2463</v>
      </c>
      <c r="F113" t="s">
        <v>2221</v>
      </c>
      <c r="G113" t="s">
        <v>6206</v>
      </c>
      <c r="H113">
        <v>32575</v>
      </c>
      <c r="I113" t="s">
        <v>1947</v>
      </c>
      <c r="J113" t="s">
        <v>262</v>
      </c>
    </row>
    <row r="114" spans="1:10" x14ac:dyDescent="0.25">
      <c r="A114" t="s">
        <v>264</v>
      </c>
      <c r="B114" t="s">
        <v>2464</v>
      </c>
      <c r="C114" t="s">
        <v>2465</v>
      </c>
      <c r="D114" t="s">
        <v>2466</v>
      </c>
      <c r="E114" t="s">
        <v>2467</v>
      </c>
      <c r="F114" t="s">
        <v>2000</v>
      </c>
      <c r="G114" t="s">
        <v>6206</v>
      </c>
      <c r="H114">
        <v>23242</v>
      </c>
      <c r="I114" t="s">
        <v>1947</v>
      </c>
      <c r="J114" t="s">
        <v>264</v>
      </c>
    </row>
    <row r="115" spans="1:10" x14ac:dyDescent="0.25">
      <c r="A115" t="s">
        <v>266</v>
      </c>
      <c r="B115" t="s">
        <v>2468</v>
      </c>
      <c r="C115" t="s">
        <v>2469</v>
      </c>
      <c r="D115" t="s">
        <v>2470</v>
      </c>
      <c r="E115" t="s">
        <v>2471</v>
      </c>
      <c r="F115" t="s">
        <v>2472</v>
      </c>
      <c r="G115" t="s">
        <v>1945</v>
      </c>
      <c r="H115" t="s">
        <v>2473</v>
      </c>
      <c r="I115" t="s">
        <v>1947</v>
      </c>
      <c r="J115" t="s">
        <v>266</v>
      </c>
    </row>
    <row r="116" spans="1:10" x14ac:dyDescent="0.25">
      <c r="A116" t="s">
        <v>268</v>
      </c>
      <c r="B116" t="s">
        <v>2474</v>
      </c>
      <c r="D116" t="s">
        <v>2475</v>
      </c>
      <c r="E116" t="s">
        <v>2476</v>
      </c>
      <c r="F116" t="s">
        <v>2477</v>
      </c>
      <c r="G116" t="s">
        <v>6206</v>
      </c>
      <c r="H116">
        <v>25705</v>
      </c>
      <c r="I116" t="s">
        <v>1947</v>
      </c>
      <c r="J116" t="s">
        <v>268</v>
      </c>
    </row>
    <row r="117" spans="1:10" x14ac:dyDescent="0.25">
      <c r="A117" t="s">
        <v>270</v>
      </c>
      <c r="B117" t="s">
        <v>2478</v>
      </c>
      <c r="C117" t="s">
        <v>2479</v>
      </c>
      <c r="D117" t="s">
        <v>2480</v>
      </c>
      <c r="E117" t="s">
        <v>2481</v>
      </c>
      <c r="F117" t="s">
        <v>2168</v>
      </c>
      <c r="G117" t="s">
        <v>2112</v>
      </c>
      <c r="H117" t="s">
        <v>2482</v>
      </c>
      <c r="I117" t="s">
        <v>1947</v>
      </c>
      <c r="J117" t="s">
        <v>270</v>
      </c>
    </row>
    <row r="118" spans="1:10" x14ac:dyDescent="0.25">
      <c r="A118" t="s">
        <v>272</v>
      </c>
      <c r="B118" t="s">
        <v>2483</v>
      </c>
      <c r="C118" t="s">
        <v>2484</v>
      </c>
      <c r="D118" t="s">
        <v>2485</v>
      </c>
      <c r="E118" t="s">
        <v>2486</v>
      </c>
      <c r="F118" t="s">
        <v>2487</v>
      </c>
      <c r="G118" t="s">
        <v>1945</v>
      </c>
      <c r="H118" t="s">
        <v>2488</v>
      </c>
      <c r="I118" t="s">
        <v>1938</v>
      </c>
      <c r="J118" t="s">
        <v>272</v>
      </c>
    </row>
    <row r="119" spans="1:10" x14ac:dyDescent="0.25">
      <c r="A119" t="s">
        <v>274</v>
      </c>
      <c r="B119" t="s">
        <v>2489</v>
      </c>
      <c r="C119" t="s">
        <v>2490</v>
      </c>
      <c r="D119" t="s">
        <v>2491</v>
      </c>
      <c r="E119" t="s">
        <v>2492</v>
      </c>
      <c r="F119" t="s">
        <v>1972</v>
      </c>
      <c r="G119" t="s">
        <v>6206</v>
      </c>
      <c r="H119">
        <v>45432</v>
      </c>
      <c r="I119" t="s">
        <v>1947</v>
      </c>
      <c r="J119" t="s">
        <v>274</v>
      </c>
    </row>
    <row r="120" spans="1:10" x14ac:dyDescent="0.25">
      <c r="A120" t="s">
        <v>276</v>
      </c>
      <c r="B120" t="s">
        <v>2493</v>
      </c>
      <c r="C120" t="s">
        <v>2494</v>
      </c>
      <c r="D120" t="s">
        <v>2495</v>
      </c>
      <c r="E120" t="s">
        <v>2496</v>
      </c>
      <c r="F120" t="s">
        <v>2497</v>
      </c>
      <c r="G120" t="s">
        <v>6206</v>
      </c>
      <c r="H120">
        <v>99507</v>
      </c>
      <c r="I120" t="s">
        <v>1938</v>
      </c>
      <c r="J120" t="s">
        <v>276</v>
      </c>
    </row>
    <row r="121" spans="1:10" x14ac:dyDescent="0.25">
      <c r="A121" t="s">
        <v>278</v>
      </c>
      <c r="B121" t="s">
        <v>2498</v>
      </c>
      <c r="C121" t="s">
        <v>2499</v>
      </c>
      <c r="D121" t="s">
        <v>2500</v>
      </c>
      <c r="E121" t="s">
        <v>2501</v>
      </c>
      <c r="F121" t="s">
        <v>2502</v>
      </c>
      <c r="G121" t="s">
        <v>6210</v>
      </c>
      <c r="H121">
        <v>37215</v>
      </c>
      <c r="I121" t="s">
        <v>1947</v>
      </c>
      <c r="J121" t="s">
        <v>278</v>
      </c>
    </row>
    <row r="122" spans="1:10" x14ac:dyDescent="0.25">
      <c r="A122" t="s">
        <v>2503</v>
      </c>
      <c r="B122" t="s">
        <v>2504</v>
      </c>
      <c r="C122" t="s">
        <v>2505</v>
      </c>
      <c r="D122" t="s">
        <v>2506</v>
      </c>
      <c r="E122" t="s">
        <v>2507</v>
      </c>
      <c r="F122" t="s">
        <v>1982</v>
      </c>
      <c r="G122" t="s">
        <v>6210</v>
      </c>
      <c r="H122">
        <v>90040</v>
      </c>
      <c r="I122" t="s">
        <v>1938</v>
      </c>
      <c r="J122" t="s">
        <v>2503</v>
      </c>
    </row>
    <row r="123" spans="1:10" x14ac:dyDescent="0.25">
      <c r="A123" t="s">
        <v>2508</v>
      </c>
      <c r="B123" t="s">
        <v>2509</v>
      </c>
      <c r="C123" t="s">
        <v>2510</v>
      </c>
      <c r="D123" t="s">
        <v>2511</v>
      </c>
      <c r="E123" t="s">
        <v>2512</v>
      </c>
      <c r="F123" t="s">
        <v>2296</v>
      </c>
      <c r="G123" t="s">
        <v>6210</v>
      </c>
      <c r="H123">
        <v>28289</v>
      </c>
      <c r="I123" t="s">
        <v>1947</v>
      </c>
      <c r="J123" t="s">
        <v>2508</v>
      </c>
    </row>
    <row r="124" spans="1:10" x14ac:dyDescent="0.25">
      <c r="A124" t="s">
        <v>280</v>
      </c>
      <c r="B124" t="s">
        <v>2513</v>
      </c>
      <c r="C124" t="s">
        <v>2514</v>
      </c>
      <c r="D124" t="s">
        <v>2515</v>
      </c>
      <c r="E124" t="s">
        <v>2516</v>
      </c>
      <c r="F124" t="s">
        <v>2128</v>
      </c>
      <c r="G124" t="s">
        <v>6210</v>
      </c>
      <c r="H124">
        <v>80217</v>
      </c>
      <c r="I124" t="s">
        <v>1938</v>
      </c>
      <c r="J124" t="s">
        <v>280</v>
      </c>
    </row>
    <row r="125" spans="1:10" x14ac:dyDescent="0.25">
      <c r="A125" t="s">
        <v>282</v>
      </c>
      <c r="B125" t="s">
        <v>2517</v>
      </c>
      <c r="C125" t="s">
        <v>2518</v>
      </c>
      <c r="D125" t="s">
        <v>2519</v>
      </c>
      <c r="E125" t="s">
        <v>2520</v>
      </c>
      <c r="F125" t="s">
        <v>2521</v>
      </c>
      <c r="G125" t="s">
        <v>6210</v>
      </c>
      <c r="H125">
        <v>6912</v>
      </c>
      <c r="I125" t="s">
        <v>1947</v>
      </c>
      <c r="J125" t="s">
        <v>282</v>
      </c>
    </row>
    <row r="126" spans="1:10" x14ac:dyDescent="0.25">
      <c r="A126" t="s">
        <v>284</v>
      </c>
      <c r="B126" t="s">
        <v>2522</v>
      </c>
      <c r="C126" t="s">
        <v>2523</v>
      </c>
      <c r="D126" t="s">
        <v>2524</v>
      </c>
      <c r="E126" t="s">
        <v>2525</v>
      </c>
      <c r="F126" t="s">
        <v>2526</v>
      </c>
      <c r="G126" t="s">
        <v>6210</v>
      </c>
      <c r="H126">
        <v>23605</v>
      </c>
      <c r="I126" t="s">
        <v>1938</v>
      </c>
      <c r="J126" t="s">
        <v>284</v>
      </c>
    </row>
    <row r="127" spans="1:10" x14ac:dyDescent="0.25">
      <c r="A127" t="s">
        <v>286</v>
      </c>
      <c r="B127" t="s">
        <v>2527</v>
      </c>
      <c r="C127" t="s">
        <v>2528</v>
      </c>
      <c r="D127" t="s">
        <v>2529</v>
      </c>
      <c r="E127" t="s">
        <v>2530</v>
      </c>
      <c r="F127" t="s">
        <v>2531</v>
      </c>
      <c r="G127" t="s">
        <v>1945</v>
      </c>
      <c r="H127" t="s">
        <v>2532</v>
      </c>
      <c r="I127" t="s">
        <v>1938</v>
      </c>
      <c r="J127" t="s">
        <v>286</v>
      </c>
    </row>
    <row r="128" spans="1:10" x14ac:dyDescent="0.25">
      <c r="A128" t="s">
        <v>288</v>
      </c>
      <c r="B128" t="s">
        <v>2533</v>
      </c>
      <c r="C128" t="s">
        <v>2534</v>
      </c>
      <c r="D128" t="s">
        <v>2535</v>
      </c>
      <c r="E128" t="s">
        <v>2536</v>
      </c>
      <c r="F128" t="s">
        <v>2497</v>
      </c>
      <c r="G128" t="s">
        <v>6206</v>
      </c>
      <c r="H128">
        <v>99599</v>
      </c>
      <c r="I128" t="s">
        <v>1947</v>
      </c>
      <c r="J128" t="s">
        <v>288</v>
      </c>
    </row>
    <row r="129" spans="1:10" x14ac:dyDescent="0.25">
      <c r="A129" t="s">
        <v>290</v>
      </c>
      <c r="B129" t="s">
        <v>2537</v>
      </c>
      <c r="C129" t="s">
        <v>2538</v>
      </c>
      <c r="D129" t="s">
        <v>2539</v>
      </c>
      <c r="E129" t="s">
        <v>2540</v>
      </c>
      <c r="F129" t="s">
        <v>2362</v>
      </c>
      <c r="G129" t="s">
        <v>1945</v>
      </c>
      <c r="H129" t="s">
        <v>2541</v>
      </c>
      <c r="I129" t="s">
        <v>1947</v>
      </c>
      <c r="J129" t="s">
        <v>290</v>
      </c>
    </row>
    <row r="130" spans="1:10" x14ac:dyDescent="0.25">
      <c r="A130" t="s">
        <v>292</v>
      </c>
      <c r="B130" t="s">
        <v>2542</v>
      </c>
      <c r="C130" t="s">
        <v>2543</v>
      </c>
      <c r="D130" t="s">
        <v>2544</v>
      </c>
      <c r="E130" t="s">
        <v>2545</v>
      </c>
      <c r="F130" t="s">
        <v>2546</v>
      </c>
      <c r="G130" t="s">
        <v>6206</v>
      </c>
      <c r="H130">
        <v>58122</v>
      </c>
      <c r="I130" t="s">
        <v>1947</v>
      </c>
      <c r="J130" t="s">
        <v>292</v>
      </c>
    </row>
    <row r="131" spans="1:10" x14ac:dyDescent="0.25">
      <c r="A131" t="s">
        <v>294</v>
      </c>
      <c r="B131" t="s">
        <v>2547</v>
      </c>
      <c r="C131" t="s">
        <v>2548</v>
      </c>
      <c r="D131" t="s">
        <v>2549</v>
      </c>
      <c r="E131" t="s">
        <v>2550</v>
      </c>
      <c r="F131" t="s">
        <v>2551</v>
      </c>
      <c r="G131" t="s">
        <v>6206</v>
      </c>
      <c r="H131">
        <v>47737</v>
      </c>
      <c r="I131" t="s">
        <v>1938</v>
      </c>
      <c r="J131" t="s">
        <v>294</v>
      </c>
    </row>
    <row r="132" spans="1:10" x14ac:dyDescent="0.25">
      <c r="A132" t="s">
        <v>296</v>
      </c>
      <c r="B132" t="s">
        <v>2552</v>
      </c>
      <c r="D132" t="s">
        <v>2553</v>
      </c>
      <c r="E132" t="s">
        <v>2554</v>
      </c>
      <c r="F132" t="s">
        <v>2472</v>
      </c>
      <c r="G132" t="s">
        <v>1945</v>
      </c>
      <c r="H132" t="s">
        <v>2473</v>
      </c>
      <c r="I132" t="s">
        <v>1938</v>
      </c>
      <c r="J132" t="s">
        <v>296</v>
      </c>
    </row>
    <row r="133" spans="1:10" x14ac:dyDescent="0.25">
      <c r="A133" t="s">
        <v>298</v>
      </c>
      <c r="B133" t="s">
        <v>2555</v>
      </c>
      <c r="C133" t="s">
        <v>2556</v>
      </c>
      <c r="D133" t="s">
        <v>2557</v>
      </c>
      <c r="E133" t="s">
        <v>2558</v>
      </c>
      <c r="F133" t="s">
        <v>2296</v>
      </c>
      <c r="G133" t="s">
        <v>6206</v>
      </c>
      <c r="H133">
        <v>28210</v>
      </c>
      <c r="I133" t="s">
        <v>1938</v>
      </c>
      <c r="J133" t="s">
        <v>298</v>
      </c>
    </row>
    <row r="134" spans="1:10" x14ac:dyDescent="0.25">
      <c r="A134" t="s">
        <v>300</v>
      </c>
      <c r="B134" t="s">
        <v>2559</v>
      </c>
      <c r="C134" t="s">
        <v>2560</v>
      </c>
      <c r="D134" t="s">
        <v>2561</v>
      </c>
      <c r="E134" t="s">
        <v>2562</v>
      </c>
      <c r="F134" t="s">
        <v>2563</v>
      </c>
      <c r="G134" t="s">
        <v>6210</v>
      </c>
      <c r="H134">
        <v>35815</v>
      </c>
      <c r="I134" t="s">
        <v>1938</v>
      </c>
      <c r="J134" t="s">
        <v>300</v>
      </c>
    </row>
    <row r="135" spans="1:10" x14ac:dyDescent="0.25">
      <c r="A135" t="s">
        <v>302</v>
      </c>
      <c r="B135" t="s">
        <v>2564</v>
      </c>
      <c r="C135" t="s">
        <v>2565</v>
      </c>
      <c r="D135" t="s">
        <v>2566</v>
      </c>
      <c r="E135" t="s">
        <v>2567</v>
      </c>
      <c r="F135" t="s">
        <v>2568</v>
      </c>
      <c r="G135" t="s">
        <v>6210</v>
      </c>
      <c r="H135">
        <v>92725</v>
      </c>
      <c r="I135" t="s">
        <v>1947</v>
      </c>
      <c r="J135" t="s">
        <v>302</v>
      </c>
    </row>
    <row r="136" spans="1:10" x14ac:dyDescent="0.25">
      <c r="A136" t="s">
        <v>304</v>
      </c>
      <c r="B136" t="s">
        <v>2569</v>
      </c>
      <c r="E136" t="s">
        <v>2570</v>
      </c>
      <c r="F136" t="s">
        <v>2182</v>
      </c>
      <c r="G136" t="s">
        <v>6210</v>
      </c>
      <c r="H136">
        <v>20520</v>
      </c>
      <c r="I136" t="s">
        <v>1938</v>
      </c>
      <c r="J136" t="s">
        <v>304</v>
      </c>
    </row>
    <row r="137" spans="1:10" x14ac:dyDescent="0.25">
      <c r="A137" t="s">
        <v>2571</v>
      </c>
      <c r="B137" t="s">
        <v>2572</v>
      </c>
      <c r="C137" t="s">
        <v>2573</v>
      </c>
      <c r="D137" t="s">
        <v>2574</v>
      </c>
      <c r="E137" t="s">
        <v>2575</v>
      </c>
      <c r="F137" t="s">
        <v>2576</v>
      </c>
      <c r="G137" t="s">
        <v>1945</v>
      </c>
      <c r="H137" t="s">
        <v>2577</v>
      </c>
      <c r="I137" t="s">
        <v>1947</v>
      </c>
      <c r="J137" t="s">
        <v>2571</v>
      </c>
    </row>
    <row r="138" spans="1:10" x14ac:dyDescent="0.25">
      <c r="A138" t="s">
        <v>308</v>
      </c>
      <c r="B138" t="s">
        <v>2578</v>
      </c>
      <c r="C138" t="s">
        <v>2579</v>
      </c>
      <c r="D138" t="s">
        <v>2580</v>
      </c>
      <c r="E138" t="s">
        <v>2581</v>
      </c>
      <c r="F138" t="s">
        <v>2009</v>
      </c>
      <c r="G138" t="s">
        <v>6210</v>
      </c>
      <c r="H138">
        <v>63131</v>
      </c>
      <c r="I138" t="s">
        <v>1947</v>
      </c>
      <c r="J138" t="s">
        <v>308</v>
      </c>
    </row>
    <row r="139" spans="1:10" x14ac:dyDescent="0.25">
      <c r="A139" t="s">
        <v>310</v>
      </c>
      <c r="B139" t="s">
        <v>2582</v>
      </c>
      <c r="D139" t="s">
        <v>2583</v>
      </c>
      <c r="E139" t="s">
        <v>2584</v>
      </c>
      <c r="F139" t="s">
        <v>2101</v>
      </c>
      <c r="G139" t="s">
        <v>1945</v>
      </c>
      <c r="H139" t="s">
        <v>2102</v>
      </c>
      <c r="I139" t="s">
        <v>1947</v>
      </c>
      <c r="J139" t="s">
        <v>310</v>
      </c>
    </row>
    <row r="140" spans="1:10" x14ac:dyDescent="0.25">
      <c r="A140" t="s">
        <v>312</v>
      </c>
      <c r="B140" t="s">
        <v>2585</v>
      </c>
      <c r="D140" t="s">
        <v>2586</v>
      </c>
      <c r="E140" t="s">
        <v>2587</v>
      </c>
      <c r="F140" t="s">
        <v>2588</v>
      </c>
      <c r="G140" t="s">
        <v>6210</v>
      </c>
      <c r="H140">
        <v>96805</v>
      </c>
      <c r="I140" t="s">
        <v>1947</v>
      </c>
      <c r="J140" t="s">
        <v>312</v>
      </c>
    </row>
    <row r="141" spans="1:10" x14ac:dyDescent="0.25">
      <c r="A141" t="s">
        <v>314</v>
      </c>
      <c r="B141" t="s">
        <v>2589</v>
      </c>
      <c r="D141" t="s">
        <v>2590</v>
      </c>
      <c r="E141" t="s">
        <v>2591</v>
      </c>
      <c r="F141" t="s">
        <v>2379</v>
      </c>
      <c r="G141" t="s">
        <v>6210</v>
      </c>
      <c r="H141">
        <v>92878</v>
      </c>
      <c r="I141" t="s">
        <v>1938</v>
      </c>
      <c r="J141" t="s">
        <v>314</v>
      </c>
    </row>
    <row r="142" spans="1:10" x14ac:dyDescent="0.25">
      <c r="A142" t="s">
        <v>316</v>
      </c>
      <c r="B142" t="s">
        <v>2592</v>
      </c>
      <c r="C142" t="s">
        <v>2593</v>
      </c>
      <c r="D142" t="s">
        <v>2594</v>
      </c>
      <c r="E142" t="s">
        <v>2595</v>
      </c>
      <c r="F142" t="s">
        <v>2596</v>
      </c>
      <c r="G142" t="s">
        <v>1945</v>
      </c>
      <c r="H142" t="s">
        <v>2541</v>
      </c>
      <c r="I142" t="s">
        <v>1938</v>
      </c>
      <c r="J142" t="s">
        <v>316</v>
      </c>
    </row>
    <row r="143" spans="1:10" x14ac:dyDescent="0.25">
      <c r="A143" t="s">
        <v>318</v>
      </c>
      <c r="B143" t="s">
        <v>2597</v>
      </c>
      <c r="C143" t="s">
        <v>2598</v>
      </c>
      <c r="D143" t="s">
        <v>2599</v>
      </c>
      <c r="E143" t="s">
        <v>2600</v>
      </c>
      <c r="F143" t="s">
        <v>2182</v>
      </c>
      <c r="G143" t="s">
        <v>6210</v>
      </c>
      <c r="H143">
        <v>20520</v>
      </c>
      <c r="I143" t="s">
        <v>1938</v>
      </c>
      <c r="J143" t="s">
        <v>318</v>
      </c>
    </row>
    <row r="144" spans="1:10" x14ac:dyDescent="0.25">
      <c r="A144" t="s">
        <v>320</v>
      </c>
      <c r="B144" t="s">
        <v>2601</v>
      </c>
      <c r="E144" t="s">
        <v>2602</v>
      </c>
      <c r="F144" t="s">
        <v>2603</v>
      </c>
      <c r="G144" t="s">
        <v>1945</v>
      </c>
      <c r="H144" t="s">
        <v>2306</v>
      </c>
      <c r="I144" t="s">
        <v>1938</v>
      </c>
      <c r="J144" t="s">
        <v>320</v>
      </c>
    </row>
    <row r="145" spans="1:10" x14ac:dyDescent="0.25">
      <c r="A145" t="s">
        <v>322</v>
      </c>
      <c r="B145" t="s">
        <v>2604</v>
      </c>
      <c r="C145" t="s">
        <v>2605</v>
      </c>
      <c r="D145" t="s">
        <v>2606</v>
      </c>
      <c r="E145" t="s">
        <v>2607</v>
      </c>
      <c r="F145" t="s">
        <v>2023</v>
      </c>
      <c r="G145" t="s">
        <v>6210</v>
      </c>
      <c r="H145">
        <v>77281</v>
      </c>
      <c r="I145" t="s">
        <v>1947</v>
      </c>
      <c r="J145" t="s">
        <v>322</v>
      </c>
    </row>
    <row r="146" spans="1:10" x14ac:dyDescent="0.25">
      <c r="A146" t="s">
        <v>324</v>
      </c>
      <c r="B146" t="s">
        <v>2608</v>
      </c>
      <c r="C146" t="s">
        <v>2609</v>
      </c>
      <c r="D146" t="s">
        <v>2610</v>
      </c>
      <c r="E146" t="s">
        <v>2611</v>
      </c>
      <c r="F146" t="s">
        <v>2612</v>
      </c>
      <c r="G146" t="s">
        <v>6210</v>
      </c>
      <c r="H146">
        <v>92668</v>
      </c>
      <c r="I146" t="s">
        <v>1938</v>
      </c>
      <c r="J146" t="s">
        <v>324</v>
      </c>
    </row>
    <row r="147" spans="1:10" x14ac:dyDescent="0.25">
      <c r="A147" t="s">
        <v>326</v>
      </c>
      <c r="B147" t="s">
        <v>2613</v>
      </c>
      <c r="C147" t="s">
        <v>2614</v>
      </c>
      <c r="D147" t="s">
        <v>2615</v>
      </c>
      <c r="E147" t="s">
        <v>2616</v>
      </c>
      <c r="F147" t="s">
        <v>2444</v>
      </c>
      <c r="G147" t="s">
        <v>6210</v>
      </c>
      <c r="H147">
        <v>88553</v>
      </c>
      <c r="I147" t="s">
        <v>1947</v>
      </c>
      <c r="J147" t="s">
        <v>326</v>
      </c>
    </row>
    <row r="148" spans="1:10" x14ac:dyDescent="0.25">
      <c r="A148" t="s">
        <v>328</v>
      </c>
      <c r="B148" t="s">
        <v>2617</v>
      </c>
      <c r="C148" t="s">
        <v>2618</v>
      </c>
      <c r="D148" t="s">
        <v>2619</v>
      </c>
      <c r="E148" t="s">
        <v>2620</v>
      </c>
      <c r="F148" t="s">
        <v>2621</v>
      </c>
      <c r="G148" t="s">
        <v>6210</v>
      </c>
      <c r="H148">
        <v>89714</v>
      </c>
      <c r="I148" t="s">
        <v>1947</v>
      </c>
      <c r="J148" t="s">
        <v>328</v>
      </c>
    </row>
    <row r="149" spans="1:10" x14ac:dyDescent="0.25">
      <c r="A149" t="s">
        <v>2622</v>
      </c>
      <c r="B149" t="s">
        <v>2623</v>
      </c>
      <c r="C149" t="s">
        <v>2624</v>
      </c>
      <c r="D149" t="s">
        <v>2625</v>
      </c>
      <c r="E149" t="s">
        <v>2626</v>
      </c>
      <c r="F149" t="s">
        <v>2262</v>
      </c>
      <c r="G149" t="s">
        <v>6210</v>
      </c>
      <c r="H149">
        <v>76105</v>
      </c>
      <c r="I149" t="s">
        <v>1938</v>
      </c>
      <c r="J149" t="s">
        <v>2622</v>
      </c>
    </row>
    <row r="150" spans="1:10" x14ac:dyDescent="0.25">
      <c r="A150" t="s">
        <v>330</v>
      </c>
      <c r="B150" t="s">
        <v>2627</v>
      </c>
      <c r="C150" t="s">
        <v>2628</v>
      </c>
      <c r="D150" t="s">
        <v>2629</v>
      </c>
      <c r="E150" t="s">
        <v>2630</v>
      </c>
      <c r="F150" t="s">
        <v>2202</v>
      </c>
      <c r="G150" t="s">
        <v>6210</v>
      </c>
      <c r="H150">
        <v>84605</v>
      </c>
      <c r="I150" t="s">
        <v>1938</v>
      </c>
      <c r="J150" t="s">
        <v>330</v>
      </c>
    </row>
    <row r="151" spans="1:10" x14ac:dyDescent="0.25">
      <c r="A151" t="s">
        <v>332</v>
      </c>
      <c r="B151" t="s">
        <v>2631</v>
      </c>
      <c r="D151" t="s">
        <v>2632</v>
      </c>
      <c r="E151" t="s">
        <v>2633</v>
      </c>
      <c r="F151" t="s">
        <v>2634</v>
      </c>
      <c r="G151" t="s">
        <v>6210</v>
      </c>
      <c r="H151">
        <v>33487</v>
      </c>
      <c r="I151" t="s">
        <v>1938</v>
      </c>
      <c r="J151" t="s">
        <v>332</v>
      </c>
    </row>
    <row r="152" spans="1:10" x14ac:dyDescent="0.25">
      <c r="A152" t="s">
        <v>334</v>
      </c>
      <c r="B152" t="s">
        <v>2635</v>
      </c>
      <c r="C152" t="s">
        <v>2636</v>
      </c>
      <c r="D152" t="s">
        <v>2637</v>
      </c>
      <c r="E152" t="s">
        <v>2638</v>
      </c>
      <c r="F152" t="s">
        <v>2639</v>
      </c>
      <c r="G152" t="s">
        <v>6210</v>
      </c>
      <c r="H152">
        <v>24040</v>
      </c>
      <c r="I152" t="s">
        <v>1938</v>
      </c>
      <c r="J152" t="s">
        <v>334</v>
      </c>
    </row>
    <row r="153" spans="1:10" x14ac:dyDescent="0.25">
      <c r="A153" t="s">
        <v>336</v>
      </c>
      <c r="B153" t="s">
        <v>2640</v>
      </c>
      <c r="D153" t="s">
        <v>2641</v>
      </c>
      <c r="E153" t="s">
        <v>2642</v>
      </c>
      <c r="F153" t="s">
        <v>2643</v>
      </c>
      <c r="G153" t="s">
        <v>6210</v>
      </c>
      <c r="H153">
        <v>50369</v>
      </c>
      <c r="I153" t="s">
        <v>1938</v>
      </c>
      <c r="J153" t="s">
        <v>336</v>
      </c>
    </row>
    <row r="154" spans="1:10" x14ac:dyDescent="0.25">
      <c r="A154" t="s">
        <v>338</v>
      </c>
      <c r="B154" t="s">
        <v>2644</v>
      </c>
      <c r="C154" t="s">
        <v>2645</v>
      </c>
      <c r="D154" t="s">
        <v>2646</v>
      </c>
      <c r="E154" t="s">
        <v>2647</v>
      </c>
      <c r="F154" t="s">
        <v>2588</v>
      </c>
      <c r="G154" t="s">
        <v>6210</v>
      </c>
      <c r="H154">
        <v>96805</v>
      </c>
      <c r="I154" t="s">
        <v>1938</v>
      </c>
      <c r="J154" t="s">
        <v>338</v>
      </c>
    </row>
    <row r="155" spans="1:10" x14ac:dyDescent="0.25">
      <c r="A155" t="s">
        <v>340</v>
      </c>
      <c r="B155" t="s">
        <v>2648</v>
      </c>
      <c r="D155" t="s">
        <v>2649</v>
      </c>
      <c r="E155" t="s">
        <v>2650</v>
      </c>
      <c r="F155" t="s">
        <v>2187</v>
      </c>
      <c r="G155" t="s">
        <v>6210</v>
      </c>
      <c r="H155">
        <v>33345</v>
      </c>
      <c r="I155" t="s">
        <v>1947</v>
      </c>
      <c r="J155" t="s">
        <v>340</v>
      </c>
    </row>
    <row r="156" spans="1:10" x14ac:dyDescent="0.25">
      <c r="A156" t="s">
        <v>342</v>
      </c>
      <c r="B156" t="s">
        <v>2651</v>
      </c>
      <c r="C156" t="s">
        <v>2652</v>
      </c>
      <c r="D156" t="s">
        <v>2653</v>
      </c>
      <c r="E156" t="s">
        <v>2654</v>
      </c>
      <c r="F156" t="s">
        <v>2013</v>
      </c>
      <c r="G156" t="s">
        <v>6210</v>
      </c>
      <c r="H156">
        <v>19172</v>
      </c>
      <c r="I156" t="s">
        <v>1947</v>
      </c>
      <c r="J156" t="s">
        <v>342</v>
      </c>
    </row>
    <row r="157" spans="1:10" x14ac:dyDescent="0.25">
      <c r="A157" t="s">
        <v>344</v>
      </c>
      <c r="B157" t="s">
        <v>2655</v>
      </c>
      <c r="C157" t="s">
        <v>2656</v>
      </c>
      <c r="D157" t="s">
        <v>2657</v>
      </c>
      <c r="E157" t="s">
        <v>2658</v>
      </c>
      <c r="F157" t="s">
        <v>2659</v>
      </c>
      <c r="G157" t="s">
        <v>6210</v>
      </c>
      <c r="H157">
        <v>6854</v>
      </c>
      <c r="I157" t="s">
        <v>1938</v>
      </c>
      <c r="J157" t="s">
        <v>344</v>
      </c>
    </row>
    <row r="158" spans="1:10" x14ac:dyDescent="0.25">
      <c r="A158" t="s">
        <v>346</v>
      </c>
      <c r="B158" t="s">
        <v>2660</v>
      </c>
      <c r="C158" t="s">
        <v>2661</v>
      </c>
      <c r="D158" t="s">
        <v>2662</v>
      </c>
      <c r="E158" t="s">
        <v>2663</v>
      </c>
      <c r="F158" t="s">
        <v>2664</v>
      </c>
      <c r="G158" t="s">
        <v>6210</v>
      </c>
      <c r="H158">
        <v>76011</v>
      </c>
      <c r="I158" t="s">
        <v>1938</v>
      </c>
      <c r="J158" t="s">
        <v>346</v>
      </c>
    </row>
    <row r="159" spans="1:10" x14ac:dyDescent="0.25">
      <c r="A159" t="s">
        <v>348</v>
      </c>
      <c r="B159" t="s">
        <v>2665</v>
      </c>
      <c r="C159" t="s">
        <v>2666</v>
      </c>
      <c r="D159" t="s">
        <v>2667</v>
      </c>
      <c r="E159" t="s">
        <v>2668</v>
      </c>
      <c r="F159" t="s">
        <v>2669</v>
      </c>
      <c r="G159" t="s">
        <v>1945</v>
      </c>
      <c r="H159" t="s">
        <v>2670</v>
      </c>
      <c r="I159" t="s">
        <v>1947</v>
      </c>
      <c r="J159" t="s">
        <v>348</v>
      </c>
    </row>
    <row r="160" spans="1:10" x14ac:dyDescent="0.25">
      <c r="A160" t="s">
        <v>350</v>
      </c>
      <c r="B160" t="s">
        <v>2671</v>
      </c>
      <c r="D160" t="s">
        <v>2672</v>
      </c>
      <c r="E160" t="s">
        <v>2673</v>
      </c>
      <c r="F160" t="s">
        <v>2674</v>
      </c>
      <c r="G160" t="s">
        <v>6210</v>
      </c>
      <c r="H160">
        <v>37416</v>
      </c>
      <c r="I160" t="s">
        <v>1938</v>
      </c>
      <c r="J160" t="s">
        <v>350</v>
      </c>
    </row>
    <row r="161" spans="1:10" x14ac:dyDescent="0.25">
      <c r="A161" t="s">
        <v>352</v>
      </c>
      <c r="B161" t="s">
        <v>2675</v>
      </c>
      <c r="D161" t="s">
        <v>2676</v>
      </c>
      <c r="E161" t="s">
        <v>2677</v>
      </c>
      <c r="F161" t="s">
        <v>2018</v>
      </c>
      <c r="G161" t="s">
        <v>6210</v>
      </c>
      <c r="H161">
        <v>97296</v>
      </c>
      <c r="I161" t="s">
        <v>1947</v>
      </c>
      <c r="J161" t="s">
        <v>352</v>
      </c>
    </row>
    <row r="162" spans="1:10" x14ac:dyDescent="0.25">
      <c r="A162" t="s">
        <v>354</v>
      </c>
      <c r="B162" t="s">
        <v>2678</v>
      </c>
      <c r="C162" t="s">
        <v>2679</v>
      </c>
      <c r="D162" t="s">
        <v>2680</v>
      </c>
      <c r="E162" t="s">
        <v>2681</v>
      </c>
      <c r="F162" t="s">
        <v>2358</v>
      </c>
      <c r="G162" t="s">
        <v>6210</v>
      </c>
      <c r="H162">
        <v>73135</v>
      </c>
      <c r="I162" t="s">
        <v>1947</v>
      </c>
      <c r="J162" t="s">
        <v>354</v>
      </c>
    </row>
    <row r="163" spans="1:10" x14ac:dyDescent="0.25">
      <c r="A163" t="s">
        <v>356</v>
      </c>
      <c r="B163" t="s">
        <v>2682</v>
      </c>
      <c r="C163" t="s">
        <v>2683</v>
      </c>
      <c r="D163" t="s">
        <v>2684</v>
      </c>
      <c r="E163" t="s">
        <v>2685</v>
      </c>
      <c r="F163" t="s">
        <v>2182</v>
      </c>
      <c r="G163" t="s">
        <v>6210</v>
      </c>
      <c r="H163">
        <v>20520</v>
      </c>
      <c r="I163" t="s">
        <v>1947</v>
      </c>
      <c r="J163" t="s">
        <v>356</v>
      </c>
    </row>
    <row r="164" spans="1:10" x14ac:dyDescent="0.25">
      <c r="A164" t="s">
        <v>358</v>
      </c>
      <c r="B164" t="s">
        <v>2686</v>
      </c>
      <c r="C164" t="s">
        <v>2687</v>
      </c>
      <c r="D164" t="s">
        <v>2688</v>
      </c>
      <c r="E164" t="s">
        <v>2689</v>
      </c>
      <c r="F164" t="s">
        <v>2690</v>
      </c>
      <c r="G164" t="s">
        <v>6210</v>
      </c>
      <c r="H164">
        <v>27415</v>
      </c>
      <c r="I164" t="s">
        <v>1938</v>
      </c>
      <c r="J164" t="s">
        <v>358</v>
      </c>
    </row>
    <row r="165" spans="1:10" x14ac:dyDescent="0.25">
      <c r="A165" t="s">
        <v>360</v>
      </c>
      <c r="B165" t="s">
        <v>2691</v>
      </c>
      <c r="C165" t="s">
        <v>2692</v>
      </c>
      <c r="D165" t="s">
        <v>2693</v>
      </c>
      <c r="E165" t="s">
        <v>2694</v>
      </c>
      <c r="F165" t="s">
        <v>2695</v>
      </c>
      <c r="G165" t="s">
        <v>6210</v>
      </c>
      <c r="H165">
        <v>22313</v>
      </c>
      <c r="I165" t="s">
        <v>1947</v>
      </c>
      <c r="J165" t="s">
        <v>360</v>
      </c>
    </row>
    <row r="166" spans="1:10" x14ac:dyDescent="0.25">
      <c r="A166" t="s">
        <v>362</v>
      </c>
      <c r="B166" t="s">
        <v>2696</v>
      </c>
      <c r="C166" t="s">
        <v>2697</v>
      </c>
      <c r="D166" t="s">
        <v>2698</v>
      </c>
      <c r="E166" t="s">
        <v>2699</v>
      </c>
      <c r="F166" t="s">
        <v>2700</v>
      </c>
      <c r="G166" t="s">
        <v>1945</v>
      </c>
      <c r="H166" t="s">
        <v>2701</v>
      </c>
      <c r="I166" t="s">
        <v>1947</v>
      </c>
      <c r="J166" t="s">
        <v>362</v>
      </c>
    </row>
    <row r="167" spans="1:10" x14ac:dyDescent="0.25">
      <c r="A167" t="s">
        <v>364</v>
      </c>
      <c r="B167" t="s">
        <v>2702</v>
      </c>
      <c r="D167" t="s">
        <v>2703</v>
      </c>
      <c r="E167" t="s">
        <v>2704</v>
      </c>
      <c r="F167" t="s">
        <v>2705</v>
      </c>
      <c r="G167" t="s">
        <v>6210</v>
      </c>
      <c r="H167">
        <v>53405</v>
      </c>
      <c r="I167" t="s">
        <v>1938</v>
      </c>
      <c r="J167" t="s">
        <v>364</v>
      </c>
    </row>
    <row r="168" spans="1:10" x14ac:dyDescent="0.25">
      <c r="A168" t="s">
        <v>366</v>
      </c>
      <c r="B168" t="s">
        <v>2706</v>
      </c>
      <c r="D168" t="s">
        <v>2707</v>
      </c>
      <c r="E168" t="s">
        <v>2708</v>
      </c>
      <c r="F168" t="s">
        <v>2709</v>
      </c>
      <c r="G168" t="s">
        <v>6210</v>
      </c>
      <c r="H168">
        <v>34629</v>
      </c>
      <c r="I168" t="s">
        <v>1938</v>
      </c>
      <c r="J168" t="s">
        <v>366</v>
      </c>
    </row>
    <row r="169" spans="1:10" x14ac:dyDescent="0.25">
      <c r="A169" t="s">
        <v>368</v>
      </c>
      <c r="B169" t="s">
        <v>2710</v>
      </c>
      <c r="C169" t="s">
        <v>2711</v>
      </c>
      <c r="D169" t="s">
        <v>2712</v>
      </c>
      <c r="E169" t="s">
        <v>2713</v>
      </c>
      <c r="F169" t="s">
        <v>2705</v>
      </c>
      <c r="G169" t="s">
        <v>6210</v>
      </c>
      <c r="H169">
        <v>53405</v>
      </c>
      <c r="I169" t="s">
        <v>1938</v>
      </c>
      <c r="J169" t="s">
        <v>368</v>
      </c>
    </row>
    <row r="170" spans="1:10" x14ac:dyDescent="0.25">
      <c r="A170" t="s">
        <v>370</v>
      </c>
      <c r="B170" t="s">
        <v>2714</v>
      </c>
      <c r="D170" t="s">
        <v>2715</v>
      </c>
      <c r="E170" t="s">
        <v>2716</v>
      </c>
      <c r="F170" t="s">
        <v>2700</v>
      </c>
      <c r="G170" t="s">
        <v>1945</v>
      </c>
      <c r="H170" t="s">
        <v>2701</v>
      </c>
      <c r="I170" t="s">
        <v>1947</v>
      </c>
      <c r="J170" t="s">
        <v>370</v>
      </c>
    </row>
    <row r="171" spans="1:10" x14ac:dyDescent="0.25">
      <c r="A171" t="s">
        <v>372</v>
      </c>
      <c r="B171" t="s">
        <v>2717</v>
      </c>
      <c r="C171" t="s">
        <v>2718</v>
      </c>
      <c r="D171" t="s">
        <v>2719</v>
      </c>
      <c r="E171" t="s">
        <v>2720</v>
      </c>
      <c r="F171" t="s">
        <v>2721</v>
      </c>
      <c r="G171" t="s">
        <v>1945</v>
      </c>
      <c r="H171" t="s">
        <v>2722</v>
      </c>
      <c r="I171" t="s">
        <v>1947</v>
      </c>
      <c r="J171" t="s">
        <v>372</v>
      </c>
    </row>
    <row r="172" spans="1:10" x14ac:dyDescent="0.25">
      <c r="A172" t="s">
        <v>374</v>
      </c>
      <c r="B172" t="s">
        <v>2723</v>
      </c>
      <c r="C172" t="s">
        <v>6209</v>
      </c>
      <c r="E172" t="s">
        <v>2724</v>
      </c>
      <c r="F172" t="s">
        <v>2725</v>
      </c>
      <c r="G172" t="s">
        <v>2112</v>
      </c>
      <c r="H172" t="s">
        <v>2726</v>
      </c>
      <c r="I172" t="s">
        <v>1947</v>
      </c>
      <c r="J172" t="s">
        <v>374</v>
      </c>
    </row>
    <row r="173" spans="1:10" x14ac:dyDescent="0.25">
      <c r="A173" t="s">
        <v>376</v>
      </c>
      <c r="B173" t="s">
        <v>2727</v>
      </c>
      <c r="C173" t="s">
        <v>2728</v>
      </c>
      <c r="D173" t="s">
        <v>2729</v>
      </c>
      <c r="E173" t="s">
        <v>2730</v>
      </c>
      <c r="F173" t="s">
        <v>2216</v>
      </c>
      <c r="G173" t="s">
        <v>6210</v>
      </c>
      <c r="H173">
        <v>33686</v>
      </c>
      <c r="I173" t="s">
        <v>1938</v>
      </c>
      <c r="J173" t="s">
        <v>376</v>
      </c>
    </row>
    <row r="174" spans="1:10" x14ac:dyDescent="0.25">
      <c r="A174" t="s">
        <v>378</v>
      </c>
      <c r="B174" t="s">
        <v>2731</v>
      </c>
      <c r="C174" t="s">
        <v>2732</v>
      </c>
      <c r="E174" t="s">
        <v>2733</v>
      </c>
      <c r="F174" t="s">
        <v>2734</v>
      </c>
      <c r="G174" t="s">
        <v>1945</v>
      </c>
      <c r="H174" t="s">
        <v>2408</v>
      </c>
      <c r="I174" t="s">
        <v>1947</v>
      </c>
      <c r="J174" t="s">
        <v>378</v>
      </c>
    </row>
    <row r="175" spans="1:10" x14ac:dyDescent="0.25">
      <c r="A175" t="s">
        <v>380</v>
      </c>
      <c r="B175" t="s">
        <v>2735</v>
      </c>
      <c r="C175" t="s">
        <v>2736</v>
      </c>
      <c r="D175" t="s">
        <v>2737</v>
      </c>
      <c r="E175" t="s">
        <v>2738</v>
      </c>
      <c r="F175" t="s">
        <v>2739</v>
      </c>
      <c r="G175" t="s">
        <v>6210</v>
      </c>
      <c r="H175">
        <v>36195</v>
      </c>
      <c r="I175" t="s">
        <v>1947</v>
      </c>
      <c r="J175" t="s">
        <v>380</v>
      </c>
    </row>
    <row r="176" spans="1:10" x14ac:dyDescent="0.25">
      <c r="A176" t="s">
        <v>382</v>
      </c>
      <c r="B176" t="s">
        <v>2740</v>
      </c>
      <c r="D176" t="s">
        <v>2741</v>
      </c>
      <c r="E176" t="s">
        <v>2742</v>
      </c>
      <c r="F176" t="s">
        <v>2743</v>
      </c>
      <c r="G176" t="s">
        <v>6210</v>
      </c>
      <c r="H176">
        <v>89436</v>
      </c>
      <c r="I176" t="s">
        <v>1938</v>
      </c>
      <c r="J176" t="s">
        <v>382</v>
      </c>
    </row>
    <row r="177" spans="1:10" x14ac:dyDescent="0.25">
      <c r="A177" t="s">
        <v>384</v>
      </c>
      <c r="B177" t="s">
        <v>2744</v>
      </c>
      <c r="C177" t="s">
        <v>2745</v>
      </c>
      <c r="D177" t="s">
        <v>2746</v>
      </c>
      <c r="E177" t="s">
        <v>2747</v>
      </c>
      <c r="F177" t="s">
        <v>2748</v>
      </c>
      <c r="G177" t="s">
        <v>6210</v>
      </c>
      <c r="H177">
        <v>31205</v>
      </c>
      <c r="I177" t="s">
        <v>1938</v>
      </c>
      <c r="J177" t="s">
        <v>384</v>
      </c>
    </row>
    <row r="178" spans="1:10" x14ac:dyDescent="0.25">
      <c r="A178" t="s">
        <v>386</v>
      </c>
      <c r="B178" t="s">
        <v>2749</v>
      </c>
      <c r="C178" t="s">
        <v>2750</v>
      </c>
      <c r="D178" t="s">
        <v>2751</v>
      </c>
      <c r="E178" t="s">
        <v>2752</v>
      </c>
      <c r="F178" t="s">
        <v>2753</v>
      </c>
      <c r="G178" t="s">
        <v>6210</v>
      </c>
      <c r="H178">
        <v>90605</v>
      </c>
      <c r="I178" t="s">
        <v>1938</v>
      </c>
      <c r="J178" t="s">
        <v>386</v>
      </c>
    </row>
    <row r="179" spans="1:10" x14ac:dyDescent="0.25">
      <c r="A179" t="s">
        <v>388</v>
      </c>
      <c r="B179" t="s">
        <v>2754</v>
      </c>
      <c r="C179" t="s">
        <v>2755</v>
      </c>
      <c r="E179" t="s">
        <v>2756</v>
      </c>
      <c r="F179" t="s">
        <v>2757</v>
      </c>
      <c r="G179" t="s">
        <v>6210</v>
      </c>
      <c r="H179">
        <v>37605</v>
      </c>
      <c r="I179" t="s">
        <v>1938</v>
      </c>
      <c r="J179" t="s">
        <v>388</v>
      </c>
    </row>
    <row r="180" spans="1:10" x14ac:dyDescent="0.25">
      <c r="A180" t="s">
        <v>390</v>
      </c>
      <c r="B180" t="s">
        <v>2758</v>
      </c>
      <c r="C180" t="s">
        <v>2759</v>
      </c>
      <c r="D180" t="s">
        <v>2760</v>
      </c>
      <c r="E180" t="s">
        <v>2761</v>
      </c>
      <c r="F180" t="s">
        <v>2159</v>
      </c>
      <c r="G180" t="s">
        <v>6210</v>
      </c>
      <c r="H180">
        <v>14614</v>
      </c>
      <c r="I180" t="s">
        <v>1947</v>
      </c>
      <c r="J180" t="s">
        <v>390</v>
      </c>
    </row>
    <row r="181" spans="1:10" x14ac:dyDescent="0.25">
      <c r="A181" t="s">
        <v>392</v>
      </c>
      <c r="B181" t="s">
        <v>2762</v>
      </c>
      <c r="D181" t="s">
        <v>2763</v>
      </c>
      <c r="E181" t="s">
        <v>2764</v>
      </c>
      <c r="F181" t="s">
        <v>2765</v>
      </c>
      <c r="G181" t="s">
        <v>1945</v>
      </c>
      <c r="H181" t="s">
        <v>2766</v>
      </c>
      <c r="I181" t="s">
        <v>1947</v>
      </c>
      <c r="J181" t="s">
        <v>392</v>
      </c>
    </row>
    <row r="182" spans="1:10" x14ac:dyDescent="0.25">
      <c r="A182" t="s">
        <v>394</v>
      </c>
      <c r="B182" t="s">
        <v>2767</v>
      </c>
      <c r="C182" t="s">
        <v>2768</v>
      </c>
      <c r="D182" t="s">
        <v>2769</v>
      </c>
      <c r="E182" t="s">
        <v>2770</v>
      </c>
      <c r="F182" t="s">
        <v>2771</v>
      </c>
      <c r="G182" t="s">
        <v>6210</v>
      </c>
      <c r="H182">
        <v>11254</v>
      </c>
      <c r="I182" t="s">
        <v>1947</v>
      </c>
      <c r="J182" t="s">
        <v>394</v>
      </c>
    </row>
    <row r="183" spans="1:10" x14ac:dyDescent="0.25">
      <c r="A183" t="s">
        <v>2772</v>
      </c>
      <c r="B183" t="s">
        <v>2773</v>
      </c>
      <c r="C183" t="s">
        <v>2774</v>
      </c>
      <c r="D183" t="s">
        <v>2775</v>
      </c>
      <c r="E183" t="s">
        <v>2776</v>
      </c>
      <c r="F183" t="s">
        <v>1958</v>
      </c>
      <c r="G183" t="s">
        <v>6210</v>
      </c>
      <c r="H183">
        <v>1114</v>
      </c>
      <c r="I183" t="s">
        <v>1947</v>
      </c>
      <c r="J183" t="s">
        <v>2772</v>
      </c>
    </row>
    <row r="184" spans="1:10" x14ac:dyDescent="0.25">
      <c r="A184" t="s">
        <v>396</v>
      </c>
      <c r="B184" t="s">
        <v>2777</v>
      </c>
      <c r="C184" t="s">
        <v>2778</v>
      </c>
      <c r="D184" t="s">
        <v>2779</v>
      </c>
      <c r="E184" t="s">
        <v>2780</v>
      </c>
      <c r="F184" t="s">
        <v>2781</v>
      </c>
      <c r="G184" t="s">
        <v>6210</v>
      </c>
      <c r="H184">
        <v>22908</v>
      </c>
      <c r="I184" t="s">
        <v>1947</v>
      </c>
      <c r="J184" t="s">
        <v>396</v>
      </c>
    </row>
    <row r="185" spans="1:10" x14ac:dyDescent="0.25">
      <c r="A185" t="s">
        <v>398</v>
      </c>
      <c r="B185" t="s">
        <v>2782</v>
      </c>
      <c r="C185" t="s">
        <v>2783</v>
      </c>
      <c r="D185" t="s">
        <v>2784</v>
      </c>
      <c r="E185" t="s">
        <v>2785</v>
      </c>
      <c r="F185" t="s">
        <v>2786</v>
      </c>
      <c r="G185" t="s">
        <v>6210</v>
      </c>
      <c r="H185">
        <v>75044</v>
      </c>
      <c r="I185" t="s">
        <v>1947</v>
      </c>
      <c r="J185" t="s">
        <v>398</v>
      </c>
    </row>
    <row r="186" spans="1:10" x14ac:dyDescent="0.25">
      <c r="A186" t="s">
        <v>400</v>
      </c>
      <c r="B186" t="s">
        <v>2787</v>
      </c>
      <c r="C186" t="s">
        <v>2788</v>
      </c>
      <c r="D186" t="s">
        <v>2789</v>
      </c>
      <c r="E186" t="s">
        <v>2790</v>
      </c>
      <c r="F186" t="s">
        <v>2133</v>
      </c>
      <c r="G186" t="s">
        <v>6210</v>
      </c>
      <c r="H186">
        <v>55448</v>
      </c>
      <c r="I186" t="s">
        <v>1947</v>
      </c>
      <c r="J186" t="s">
        <v>400</v>
      </c>
    </row>
    <row r="187" spans="1:10" x14ac:dyDescent="0.25">
      <c r="A187" t="s">
        <v>402</v>
      </c>
      <c r="B187" t="s">
        <v>2791</v>
      </c>
      <c r="C187" t="s">
        <v>2792</v>
      </c>
      <c r="D187" t="s">
        <v>2793</v>
      </c>
      <c r="E187" t="s">
        <v>2794</v>
      </c>
      <c r="F187" t="s">
        <v>2795</v>
      </c>
      <c r="G187" t="s">
        <v>6210</v>
      </c>
      <c r="H187">
        <v>48919</v>
      </c>
      <c r="I187" t="s">
        <v>1938</v>
      </c>
      <c r="J187" t="s">
        <v>402</v>
      </c>
    </row>
    <row r="188" spans="1:10" x14ac:dyDescent="0.25">
      <c r="A188" t="s">
        <v>404</v>
      </c>
      <c r="B188" t="s">
        <v>2796</v>
      </c>
      <c r="C188" t="s">
        <v>2797</v>
      </c>
      <c r="D188" t="s">
        <v>2798</v>
      </c>
      <c r="E188" t="s">
        <v>2799</v>
      </c>
      <c r="F188" t="s">
        <v>2106</v>
      </c>
      <c r="G188" t="s">
        <v>6210</v>
      </c>
      <c r="H188">
        <v>58207</v>
      </c>
      <c r="I188" t="s">
        <v>1947</v>
      </c>
      <c r="J188" t="s">
        <v>404</v>
      </c>
    </row>
    <row r="189" spans="1:10" x14ac:dyDescent="0.25">
      <c r="A189" t="s">
        <v>406</v>
      </c>
      <c r="B189" t="s">
        <v>2800</v>
      </c>
      <c r="C189" t="s">
        <v>2801</v>
      </c>
      <c r="E189" t="s">
        <v>2802</v>
      </c>
      <c r="F189" t="s">
        <v>2497</v>
      </c>
      <c r="G189" t="s">
        <v>6210</v>
      </c>
      <c r="H189">
        <v>99522</v>
      </c>
      <c r="I189" t="s">
        <v>1938</v>
      </c>
      <c r="J189" t="s">
        <v>406</v>
      </c>
    </row>
    <row r="190" spans="1:10" x14ac:dyDescent="0.25">
      <c r="A190" t="s">
        <v>408</v>
      </c>
      <c r="B190" t="s">
        <v>2803</v>
      </c>
      <c r="C190" t="s">
        <v>2804</v>
      </c>
      <c r="D190" t="s">
        <v>2805</v>
      </c>
      <c r="E190" t="s">
        <v>2806</v>
      </c>
      <c r="F190" t="s">
        <v>2358</v>
      </c>
      <c r="G190" t="s">
        <v>6210</v>
      </c>
      <c r="H190">
        <v>73129</v>
      </c>
      <c r="I190" t="s">
        <v>1938</v>
      </c>
      <c r="J190" t="s">
        <v>408</v>
      </c>
    </row>
    <row r="191" spans="1:10" x14ac:dyDescent="0.25">
      <c r="A191" t="s">
        <v>410</v>
      </c>
      <c r="B191" t="s">
        <v>2807</v>
      </c>
      <c r="C191" t="s">
        <v>2808</v>
      </c>
      <c r="D191" t="s">
        <v>2809</v>
      </c>
      <c r="E191" t="s">
        <v>2810</v>
      </c>
      <c r="F191" t="s">
        <v>2811</v>
      </c>
      <c r="G191" t="s">
        <v>6210</v>
      </c>
      <c r="H191">
        <v>74103</v>
      </c>
      <c r="I191" t="s">
        <v>1938</v>
      </c>
      <c r="J191" t="s">
        <v>410</v>
      </c>
    </row>
    <row r="192" spans="1:10" x14ac:dyDescent="0.25">
      <c r="A192" t="s">
        <v>412</v>
      </c>
      <c r="B192" t="s">
        <v>2812</v>
      </c>
      <c r="C192" t="s">
        <v>2813</v>
      </c>
      <c r="D192" t="s">
        <v>2814</v>
      </c>
      <c r="E192" t="s">
        <v>2815</v>
      </c>
      <c r="F192" t="s">
        <v>2816</v>
      </c>
      <c r="G192" t="s">
        <v>6210</v>
      </c>
      <c r="H192">
        <v>48211</v>
      </c>
      <c r="I192" t="s">
        <v>1938</v>
      </c>
      <c r="J192" t="s">
        <v>412</v>
      </c>
    </row>
    <row r="193" spans="1:10" x14ac:dyDescent="0.25">
      <c r="A193" t="s">
        <v>414</v>
      </c>
      <c r="B193" t="s">
        <v>2817</v>
      </c>
      <c r="C193" t="s">
        <v>2818</v>
      </c>
      <c r="D193" t="s">
        <v>2819</v>
      </c>
      <c r="E193" t="s">
        <v>2820</v>
      </c>
      <c r="F193" t="s">
        <v>2182</v>
      </c>
      <c r="G193" t="s">
        <v>6210</v>
      </c>
      <c r="H193">
        <v>20436</v>
      </c>
      <c r="I193" t="s">
        <v>1938</v>
      </c>
      <c r="J193" t="s">
        <v>414</v>
      </c>
    </row>
    <row r="194" spans="1:10" x14ac:dyDescent="0.25">
      <c r="A194" t="s">
        <v>416</v>
      </c>
      <c r="B194" t="s">
        <v>2821</v>
      </c>
      <c r="C194" t="s">
        <v>2822</v>
      </c>
      <c r="D194" t="s">
        <v>2823</v>
      </c>
      <c r="E194" t="s">
        <v>2824</v>
      </c>
      <c r="F194" t="s">
        <v>2825</v>
      </c>
      <c r="G194" t="s">
        <v>1945</v>
      </c>
      <c r="H194" t="s">
        <v>2826</v>
      </c>
      <c r="I194" t="s">
        <v>1938</v>
      </c>
      <c r="J194" t="s">
        <v>416</v>
      </c>
    </row>
    <row r="195" spans="1:10" x14ac:dyDescent="0.25">
      <c r="A195" t="s">
        <v>418</v>
      </c>
      <c r="B195" t="s">
        <v>2827</v>
      </c>
      <c r="D195" t="s">
        <v>2828</v>
      </c>
      <c r="E195" t="s">
        <v>2829</v>
      </c>
      <c r="F195" t="s">
        <v>2830</v>
      </c>
      <c r="G195" t="s">
        <v>6210</v>
      </c>
      <c r="H195">
        <v>85215</v>
      </c>
      <c r="I195" t="s">
        <v>1947</v>
      </c>
      <c r="J195" t="s">
        <v>418</v>
      </c>
    </row>
    <row r="196" spans="1:10" x14ac:dyDescent="0.25">
      <c r="A196" t="s">
        <v>420</v>
      </c>
      <c r="B196" t="s">
        <v>2831</v>
      </c>
      <c r="C196" t="s">
        <v>2832</v>
      </c>
      <c r="D196" t="s">
        <v>2833</v>
      </c>
      <c r="E196" t="s">
        <v>2834</v>
      </c>
      <c r="F196" t="s">
        <v>2835</v>
      </c>
      <c r="G196" t="s">
        <v>6210</v>
      </c>
      <c r="H196">
        <v>44485</v>
      </c>
      <c r="I196" t="s">
        <v>1947</v>
      </c>
      <c r="J196" t="s">
        <v>420</v>
      </c>
    </row>
    <row r="197" spans="1:10" x14ac:dyDescent="0.25">
      <c r="A197" t="s">
        <v>422</v>
      </c>
      <c r="B197" t="s">
        <v>2836</v>
      </c>
      <c r="C197" t="s">
        <v>2837</v>
      </c>
      <c r="D197" t="s">
        <v>2838</v>
      </c>
      <c r="E197" t="s">
        <v>2839</v>
      </c>
      <c r="F197" t="s">
        <v>2840</v>
      </c>
      <c r="G197" t="s">
        <v>6210</v>
      </c>
      <c r="H197">
        <v>38150</v>
      </c>
      <c r="I197" t="s">
        <v>1947</v>
      </c>
      <c r="J197" t="s">
        <v>422</v>
      </c>
    </row>
    <row r="198" spans="1:10" x14ac:dyDescent="0.25">
      <c r="A198" t="s">
        <v>424</v>
      </c>
      <c r="B198" t="s">
        <v>2841</v>
      </c>
      <c r="C198" t="s">
        <v>2842</v>
      </c>
      <c r="E198" t="s">
        <v>2843</v>
      </c>
      <c r="F198" t="s">
        <v>2182</v>
      </c>
      <c r="G198" t="s">
        <v>6210</v>
      </c>
      <c r="H198">
        <v>20535</v>
      </c>
      <c r="I198" t="s">
        <v>1947</v>
      </c>
      <c r="J198" t="s">
        <v>424</v>
      </c>
    </row>
    <row r="199" spans="1:10" x14ac:dyDescent="0.25">
      <c r="A199" t="s">
        <v>2844</v>
      </c>
      <c r="B199" t="s">
        <v>2845</v>
      </c>
      <c r="C199" t="s">
        <v>2846</v>
      </c>
      <c r="D199" t="s">
        <v>2847</v>
      </c>
      <c r="E199" t="s">
        <v>2848</v>
      </c>
      <c r="F199" t="s">
        <v>2849</v>
      </c>
      <c r="G199" t="s">
        <v>1945</v>
      </c>
      <c r="H199" t="s">
        <v>2850</v>
      </c>
      <c r="I199" t="s">
        <v>1938</v>
      </c>
      <c r="J199" t="s">
        <v>2844</v>
      </c>
    </row>
    <row r="200" spans="1:10" x14ac:dyDescent="0.25">
      <c r="A200" t="s">
        <v>2851</v>
      </c>
      <c r="B200" t="s">
        <v>2852</v>
      </c>
      <c r="C200" t="s">
        <v>2853</v>
      </c>
      <c r="D200" t="s">
        <v>2854</v>
      </c>
      <c r="E200" t="s">
        <v>2855</v>
      </c>
      <c r="F200" t="s">
        <v>2856</v>
      </c>
      <c r="G200" t="s">
        <v>6210</v>
      </c>
      <c r="H200">
        <v>33064</v>
      </c>
      <c r="I200" t="s">
        <v>1947</v>
      </c>
      <c r="J200" t="s">
        <v>2851</v>
      </c>
    </row>
    <row r="201" spans="1:10" x14ac:dyDescent="0.25">
      <c r="A201" t="s">
        <v>2857</v>
      </c>
      <c r="B201" t="s">
        <v>2858</v>
      </c>
      <c r="C201" t="s">
        <v>2859</v>
      </c>
      <c r="D201" t="s">
        <v>2860</v>
      </c>
      <c r="E201" t="s">
        <v>2861</v>
      </c>
      <c r="F201" t="s">
        <v>2248</v>
      </c>
      <c r="G201" t="s">
        <v>6210</v>
      </c>
      <c r="H201">
        <v>60604</v>
      </c>
      <c r="I201" t="s">
        <v>1947</v>
      </c>
      <c r="J201" t="s">
        <v>2857</v>
      </c>
    </row>
    <row r="202" spans="1:10" x14ac:dyDescent="0.25">
      <c r="A202" t="s">
        <v>2862</v>
      </c>
      <c r="B202" t="s">
        <v>2863</v>
      </c>
      <c r="C202" t="s">
        <v>2864</v>
      </c>
      <c r="D202" t="s">
        <v>2865</v>
      </c>
      <c r="E202" t="s">
        <v>2866</v>
      </c>
      <c r="F202" t="s">
        <v>2867</v>
      </c>
      <c r="G202" t="s">
        <v>2112</v>
      </c>
      <c r="H202" t="s">
        <v>2868</v>
      </c>
      <c r="I202" t="s">
        <v>1947</v>
      </c>
      <c r="J202" t="s">
        <v>2862</v>
      </c>
    </row>
    <row r="203" spans="1:10" x14ac:dyDescent="0.25">
      <c r="A203" t="s">
        <v>426</v>
      </c>
      <c r="B203" t="s">
        <v>2869</v>
      </c>
      <c r="D203" t="s">
        <v>2870</v>
      </c>
      <c r="E203" t="s">
        <v>2871</v>
      </c>
      <c r="F203" t="s">
        <v>2150</v>
      </c>
      <c r="G203" t="s">
        <v>6210</v>
      </c>
      <c r="H203">
        <v>84409</v>
      </c>
      <c r="I203" t="s">
        <v>1947</v>
      </c>
      <c r="J203" t="s">
        <v>426</v>
      </c>
    </row>
    <row r="204" spans="1:10" x14ac:dyDescent="0.25">
      <c r="A204" t="s">
        <v>428</v>
      </c>
      <c r="B204" t="s">
        <v>2872</v>
      </c>
      <c r="C204" t="s">
        <v>2873</v>
      </c>
      <c r="D204" t="s">
        <v>2874</v>
      </c>
      <c r="E204" t="s">
        <v>2875</v>
      </c>
      <c r="F204" t="s">
        <v>2876</v>
      </c>
      <c r="G204" t="s">
        <v>6210</v>
      </c>
      <c r="H204">
        <v>12205</v>
      </c>
      <c r="I204" t="s">
        <v>1938</v>
      </c>
      <c r="J204" t="s">
        <v>428</v>
      </c>
    </row>
    <row r="205" spans="1:10" x14ac:dyDescent="0.25">
      <c r="A205" t="s">
        <v>430</v>
      </c>
      <c r="B205" t="s">
        <v>2877</v>
      </c>
      <c r="C205" t="s">
        <v>2878</v>
      </c>
      <c r="D205" t="s">
        <v>2879</v>
      </c>
      <c r="E205" t="s">
        <v>2880</v>
      </c>
      <c r="F205" t="s">
        <v>2881</v>
      </c>
      <c r="G205" t="s">
        <v>6210</v>
      </c>
      <c r="H205">
        <v>29305</v>
      </c>
      <c r="I205" t="s">
        <v>1947</v>
      </c>
      <c r="J205" t="s">
        <v>430</v>
      </c>
    </row>
    <row r="206" spans="1:10" x14ac:dyDescent="0.25">
      <c r="A206" t="s">
        <v>432</v>
      </c>
      <c r="B206" t="s">
        <v>2882</v>
      </c>
      <c r="D206" t="s">
        <v>2883</v>
      </c>
      <c r="E206" t="s">
        <v>2884</v>
      </c>
      <c r="F206" t="s">
        <v>2885</v>
      </c>
      <c r="G206" t="s">
        <v>6210</v>
      </c>
      <c r="H206">
        <v>10310</v>
      </c>
      <c r="I206" t="s">
        <v>1947</v>
      </c>
      <c r="J206" t="s">
        <v>432</v>
      </c>
    </row>
    <row r="207" spans="1:10" x14ac:dyDescent="0.25">
      <c r="A207" t="s">
        <v>434</v>
      </c>
      <c r="B207" t="s">
        <v>2886</v>
      </c>
      <c r="D207" t="s">
        <v>2887</v>
      </c>
      <c r="E207" t="s">
        <v>2888</v>
      </c>
      <c r="F207" t="s">
        <v>2182</v>
      </c>
      <c r="G207" t="s">
        <v>6210</v>
      </c>
      <c r="H207">
        <v>20337</v>
      </c>
      <c r="I207" t="s">
        <v>1938</v>
      </c>
      <c r="J207" t="s">
        <v>434</v>
      </c>
    </row>
    <row r="208" spans="1:10" x14ac:dyDescent="0.25">
      <c r="A208" t="s">
        <v>436</v>
      </c>
      <c r="B208" t="s">
        <v>2889</v>
      </c>
      <c r="C208" t="s">
        <v>2890</v>
      </c>
      <c r="E208" t="s">
        <v>2891</v>
      </c>
      <c r="F208" t="s">
        <v>2296</v>
      </c>
      <c r="G208" t="s">
        <v>6210</v>
      </c>
      <c r="H208">
        <v>28225</v>
      </c>
      <c r="I208" t="s">
        <v>1947</v>
      </c>
      <c r="J208" t="s">
        <v>436</v>
      </c>
    </row>
    <row r="209" spans="1:10" x14ac:dyDescent="0.25">
      <c r="A209" t="s">
        <v>438</v>
      </c>
      <c r="B209" t="s">
        <v>2892</v>
      </c>
      <c r="C209" t="s">
        <v>2893</v>
      </c>
      <c r="D209" t="s">
        <v>2894</v>
      </c>
      <c r="E209" t="s">
        <v>2895</v>
      </c>
      <c r="F209" t="s">
        <v>2896</v>
      </c>
      <c r="G209" t="s">
        <v>6210</v>
      </c>
      <c r="H209">
        <v>79491</v>
      </c>
      <c r="I209" t="s">
        <v>1938</v>
      </c>
      <c r="J209" t="s">
        <v>438</v>
      </c>
    </row>
    <row r="210" spans="1:10" x14ac:dyDescent="0.25">
      <c r="A210" t="s">
        <v>440</v>
      </c>
      <c r="B210" t="s">
        <v>2897</v>
      </c>
      <c r="C210" t="s">
        <v>2898</v>
      </c>
      <c r="D210" t="s">
        <v>2899</v>
      </c>
      <c r="E210" t="s">
        <v>2900</v>
      </c>
      <c r="F210" t="s">
        <v>2901</v>
      </c>
      <c r="G210" t="s">
        <v>1945</v>
      </c>
      <c r="H210" t="s">
        <v>2902</v>
      </c>
      <c r="I210" t="s">
        <v>1938</v>
      </c>
      <c r="J210" t="s">
        <v>440</v>
      </c>
    </row>
    <row r="211" spans="1:10" x14ac:dyDescent="0.25">
      <c r="A211" t="s">
        <v>442</v>
      </c>
      <c r="B211" t="s">
        <v>2903</v>
      </c>
      <c r="C211" t="s">
        <v>2904</v>
      </c>
      <c r="D211" t="s">
        <v>2905</v>
      </c>
      <c r="E211" t="s">
        <v>2906</v>
      </c>
      <c r="F211" t="s">
        <v>2907</v>
      </c>
      <c r="G211" t="s">
        <v>2112</v>
      </c>
      <c r="H211" t="s">
        <v>2908</v>
      </c>
      <c r="I211" t="s">
        <v>1947</v>
      </c>
      <c r="J211" t="s">
        <v>442</v>
      </c>
    </row>
    <row r="212" spans="1:10" x14ac:dyDescent="0.25">
      <c r="A212" t="s">
        <v>444</v>
      </c>
      <c r="B212" t="s">
        <v>2909</v>
      </c>
      <c r="C212" t="s">
        <v>2910</v>
      </c>
      <c r="D212" t="s">
        <v>2911</v>
      </c>
      <c r="E212" t="s">
        <v>2912</v>
      </c>
      <c r="F212" t="s">
        <v>2781</v>
      </c>
      <c r="G212" t="s">
        <v>6210</v>
      </c>
      <c r="H212">
        <v>22908</v>
      </c>
      <c r="I212" t="s">
        <v>1938</v>
      </c>
      <c r="J212" t="s">
        <v>444</v>
      </c>
    </row>
    <row r="213" spans="1:10" x14ac:dyDescent="0.25">
      <c r="A213" t="s">
        <v>446</v>
      </c>
      <c r="B213" t="s">
        <v>2913</v>
      </c>
      <c r="C213" t="s">
        <v>2914</v>
      </c>
      <c r="E213" t="s">
        <v>2915</v>
      </c>
      <c r="F213" t="s">
        <v>2033</v>
      </c>
      <c r="G213" t="s">
        <v>6210</v>
      </c>
      <c r="H213">
        <v>10105</v>
      </c>
      <c r="I213" t="s">
        <v>1947</v>
      </c>
      <c r="J213" t="s">
        <v>446</v>
      </c>
    </row>
    <row r="214" spans="1:10" x14ac:dyDescent="0.25">
      <c r="A214" t="s">
        <v>448</v>
      </c>
      <c r="B214" t="s">
        <v>2916</v>
      </c>
      <c r="C214" t="s">
        <v>2917</v>
      </c>
      <c r="D214" t="s">
        <v>2918</v>
      </c>
      <c r="E214" t="s">
        <v>2919</v>
      </c>
      <c r="F214" t="s">
        <v>2639</v>
      </c>
      <c r="G214" t="s">
        <v>6210</v>
      </c>
      <c r="H214">
        <v>24009</v>
      </c>
      <c r="I214" t="s">
        <v>1938</v>
      </c>
      <c r="J214" t="s">
        <v>448</v>
      </c>
    </row>
    <row r="215" spans="1:10" x14ac:dyDescent="0.25">
      <c r="A215" t="s">
        <v>450</v>
      </c>
      <c r="B215" t="s">
        <v>2920</v>
      </c>
      <c r="C215" t="s">
        <v>2921</v>
      </c>
      <c r="D215" t="s">
        <v>2922</v>
      </c>
      <c r="E215" t="s">
        <v>2923</v>
      </c>
      <c r="F215" t="s">
        <v>2033</v>
      </c>
      <c r="G215" t="s">
        <v>6210</v>
      </c>
      <c r="H215">
        <v>10009</v>
      </c>
      <c r="I215" t="s">
        <v>1947</v>
      </c>
      <c r="J215" t="s">
        <v>450</v>
      </c>
    </row>
    <row r="216" spans="1:10" x14ac:dyDescent="0.25">
      <c r="A216" t="s">
        <v>452</v>
      </c>
      <c r="B216" t="s">
        <v>2924</v>
      </c>
      <c r="C216" t="s">
        <v>2925</v>
      </c>
      <c r="D216" t="s">
        <v>2926</v>
      </c>
      <c r="E216" t="s">
        <v>2927</v>
      </c>
      <c r="F216" t="s">
        <v>2928</v>
      </c>
      <c r="G216" t="s">
        <v>1945</v>
      </c>
      <c r="H216" t="s">
        <v>2079</v>
      </c>
      <c r="I216" t="s">
        <v>1947</v>
      </c>
      <c r="J216" t="s">
        <v>452</v>
      </c>
    </row>
    <row r="217" spans="1:10" x14ac:dyDescent="0.25">
      <c r="A217" t="s">
        <v>454</v>
      </c>
      <c r="B217" t="s">
        <v>2929</v>
      </c>
      <c r="C217" t="s">
        <v>2930</v>
      </c>
      <c r="D217" t="s">
        <v>2931</v>
      </c>
      <c r="E217" t="s">
        <v>2932</v>
      </c>
      <c r="F217" t="s">
        <v>2933</v>
      </c>
      <c r="G217" t="s">
        <v>6210</v>
      </c>
      <c r="H217">
        <v>84120</v>
      </c>
      <c r="I217" t="s">
        <v>1947</v>
      </c>
      <c r="J217" t="s">
        <v>454</v>
      </c>
    </row>
    <row r="218" spans="1:10" x14ac:dyDescent="0.25">
      <c r="A218" t="s">
        <v>456</v>
      </c>
      <c r="B218" t="s">
        <v>2934</v>
      </c>
      <c r="C218" t="s">
        <v>2935</v>
      </c>
      <c r="D218" t="s">
        <v>2936</v>
      </c>
      <c r="E218" t="s">
        <v>2937</v>
      </c>
      <c r="F218" t="s">
        <v>2207</v>
      </c>
      <c r="G218" t="s">
        <v>6210</v>
      </c>
      <c r="H218">
        <v>43635</v>
      </c>
      <c r="I218" t="s">
        <v>1938</v>
      </c>
      <c r="J218" t="s">
        <v>456</v>
      </c>
    </row>
    <row r="219" spans="1:10" x14ac:dyDescent="0.25">
      <c r="A219" t="s">
        <v>458</v>
      </c>
      <c r="B219" t="s">
        <v>2938</v>
      </c>
      <c r="C219" t="s">
        <v>2939</v>
      </c>
      <c r="D219" t="s">
        <v>2940</v>
      </c>
      <c r="E219" t="s">
        <v>2941</v>
      </c>
      <c r="F219" t="s">
        <v>2942</v>
      </c>
      <c r="G219" t="s">
        <v>6210</v>
      </c>
      <c r="H219">
        <v>91131</v>
      </c>
      <c r="I219" t="s">
        <v>1947</v>
      </c>
      <c r="J219" t="s">
        <v>458</v>
      </c>
    </row>
    <row r="220" spans="1:10" x14ac:dyDescent="0.25">
      <c r="A220" t="s">
        <v>460</v>
      </c>
      <c r="B220" t="s">
        <v>2943</v>
      </c>
      <c r="C220" t="s">
        <v>2944</v>
      </c>
      <c r="D220" t="s">
        <v>2945</v>
      </c>
      <c r="E220" t="s">
        <v>2946</v>
      </c>
      <c r="F220" t="s">
        <v>2947</v>
      </c>
      <c r="G220" t="s">
        <v>1945</v>
      </c>
      <c r="H220" t="s">
        <v>2289</v>
      </c>
      <c r="I220" t="s">
        <v>1938</v>
      </c>
      <c r="J220" t="s">
        <v>460</v>
      </c>
    </row>
    <row r="221" spans="1:10" x14ac:dyDescent="0.25">
      <c r="A221" t="s">
        <v>462</v>
      </c>
      <c r="B221" t="s">
        <v>2948</v>
      </c>
      <c r="C221" t="s">
        <v>2949</v>
      </c>
      <c r="D221" t="s">
        <v>2950</v>
      </c>
      <c r="E221" t="s">
        <v>2951</v>
      </c>
      <c r="F221" t="s">
        <v>2952</v>
      </c>
      <c r="G221" t="s">
        <v>6210</v>
      </c>
      <c r="H221">
        <v>64082</v>
      </c>
      <c r="I221" t="s">
        <v>1947</v>
      </c>
      <c r="J221" t="s">
        <v>462</v>
      </c>
    </row>
    <row r="222" spans="1:10" x14ac:dyDescent="0.25">
      <c r="A222" t="s">
        <v>2953</v>
      </c>
      <c r="B222" t="s">
        <v>2954</v>
      </c>
      <c r="C222" t="s">
        <v>2955</v>
      </c>
      <c r="D222" t="s">
        <v>2956</v>
      </c>
      <c r="E222" t="s">
        <v>2957</v>
      </c>
      <c r="F222" t="s">
        <v>2262</v>
      </c>
      <c r="G222" t="s">
        <v>6210</v>
      </c>
      <c r="H222">
        <v>76121</v>
      </c>
      <c r="I222" t="s">
        <v>1947</v>
      </c>
      <c r="J222" t="s">
        <v>2953</v>
      </c>
    </row>
    <row r="223" spans="1:10" x14ac:dyDescent="0.25">
      <c r="A223" t="s">
        <v>464</v>
      </c>
      <c r="B223" t="s">
        <v>2958</v>
      </c>
      <c r="C223" t="s">
        <v>2959</v>
      </c>
      <c r="D223" t="s">
        <v>2960</v>
      </c>
      <c r="E223" t="s">
        <v>2961</v>
      </c>
      <c r="F223" t="s">
        <v>2962</v>
      </c>
      <c r="G223" t="s">
        <v>6210</v>
      </c>
      <c r="H223">
        <v>92619</v>
      </c>
      <c r="I223" t="s">
        <v>1938</v>
      </c>
      <c r="J223" t="s">
        <v>464</v>
      </c>
    </row>
    <row r="224" spans="1:10" x14ac:dyDescent="0.25">
      <c r="A224" t="s">
        <v>466</v>
      </c>
      <c r="B224" t="s">
        <v>2963</v>
      </c>
      <c r="C224" t="s">
        <v>2964</v>
      </c>
      <c r="D224" t="s">
        <v>2965</v>
      </c>
      <c r="E224" t="s">
        <v>2966</v>
      </c>
      <c r="F224" t="s">
        <v>2967</v>
      </c>
      <c r="G224" t="s">
        <v>6210</v>
      </c>
      <c r="H224">
        <v>11854</v>
      </c>
      <c r="I224" t="s">
        <v>1947</v>
      </c>
      <c r="J224" t="s">
        <v>466</v>
      </c>
    </row>
    <row r="225" spans="1:10" x14ac:dyDescent="0.25">
      <c r="A225" t="s">
        <v>468</v>
      </c>
      <c r="B225" t="s">
        <v>2968</v>
      </c>
      <c r="D225" t="s">
        <v>2969</v>
      </c>
      <c r="E225" t="s">
        <v>2970</v>
      </c>
      <c r="F225" t="s">
        <v>2182</v>
      </c>
      <c r="G225" t="s">
        <v>6210</v>
      </c>
      <c r="H225">
        <v>20546</v>
      </c>
      <c r="I225" t="s">
        <v>1938</v>
      </c>
      <c r="J225" t="s">
        <v>468</v>
      </c>
    </row>
    <row r="226" spans="1:10" x14ac:dyDescent="0.25">
      <c r="A226" t="s">
        <v>470</v>
      </c>
      <c r="B226" t="s">
        <v>2971</v>
      </c>
      <c r="C226" t="s">
        <v>2972</v>
      </c>
      <c r="D226" t="s">
        <v>2973</v>
      </c>
      <c r="E226" t="s">
        <v>2974</v>
      </c>
      <c r="F226" t="s">
        <v>2033</v>
      </c>
      <c r="G226" t="s">
        <v>6210</v>
      </c>
      <c r="H226">
        <v>10060</v>
      </c>
      <c r="I226" t="s">
        <v>1938</v>
      </c>
      <c r="J226" t="s">
        <v>470</v>
      </c>
    </row>
    <row r="227" spans="1:10" x14ac:dyDescent="0.25">
      <c r="A227" t="s">
        <v>472</v>
      </c>
      <c r="B227" t="s">
        <v>2975</v>
      </c>
      <c r="C227" t="s">
        <v>2976</v>
      </c>
      <c r="D227" t="s">
        <v>2977</v>
      </c>
      <c r="E227" t="s">
        <v>2978</v>
      </c>
      <c r="F227" t="s">
        <v>2288</v>
      </c>
      <c r="G227" t="s">
        <v>1945</v>
      </c>
      <c r="H227" t="s">
        <v>2289</v>
      </c>
      <c r="I227" t="s">
        <v>1947</v>
      </c>
      <c r="J227" t="s">
        <v>472</v>
      </c>
    </row>
    <row r="228" spans="1:10" x14ac:dyDescent="0.25">
      <c r="A228" t="s">
        <v>474</v>
      </c>
      <c r="B228" t="s">
        <v>2979</v>
      </c>
      <c r="C228" t="s">
        <v>2980</v>
      </c>
      <c r="D228" t="s">
        <v>2981</v>
      </c>
      <c r="E228" t="s">
        <v>2982</v>
      </c>
      <c r="F228" t="s">
        <v>2983</v>
      </c>
      <c r="G228" t="s">
        <v>6210</v>
      </c>
      <c r="H228">
        <v>66276</v>
      </c>
      <c r="I228" t="s">
        <v>1947</v>
      </c>
      <c r="J228" t="s">
        <v>474</v>
      </c>
    </row>
    <row r="229" spans="1:10" x14ac:dyDescent="0.25">
      <c r="A229" t="s">
        <v>476</v>
      </c>
      <c r="B229" t="s">
        <v>2984</v>
      </c>
      <c r="C229" t="s">
        <v>2985</v>
      </c>
      <c r="D229" t="s">
        <v>2986</v>
      </c>
      <c r="E229" t="s">
        <v>2987</v>
      </c>
      <c r="F229" t="s">
        <v>2988</v>
      </c>
      <c r="G229" t="s">
        <v>2112</v>
      </c>
      <c r="H229" t="s">
        <v>2989</v>
      </c>
      <c r="I229" t="s">
        <v>1938</v>
      </c>
      <c r="J229" t="s">
        <v>476</v>
      </c>
    </row>
    <row r="230" spans="1:10" x14ac:dyDescent="0.25">
      <c r="A230" t="s">
        <v>478</v>
      </c>
      <c r="B230" t="s">
        <v>2990</v>
      </c>
      <c r="C230" t="s">
        <v>2991</v>
      </c>
      <c r="D230" t="s">
        <v>2992</v>
      </c>
      <c r="E230" t="s">
        <v>2993</v>
      </c>
      <c r="F230" t="s">
        <v>2994</v>
      </c>
      <c r="G230" t="s">
        <v>6210</v>
      </c>
      <c r="H230">
        <v>94291</v>
      </c>
      <c r="I230" t="s">
        <v>1947</v>
      </c>
      <c r="J230" t="s">
        <v>478</v>
      </c>
    </row>
    <row r="231" spans="1:10" x14ac:dyDescent="0.25">
      <c r="A231" t="s">
        <v>480</v>
      </c>
      <c r="B231" t="s">
        <v>2995</v>
      </c>
      <c r="C231" t="s">
        <v>2996</v>
      </c>
      <c r="D231" t="s">
        <v>2997</v>
      </c>
      <c r="E231" t="s">
        <v>2998</v>
      </c>
      <c r="F231" t="s">
        <v>2999</v>
      </c>
      <c r="G231" t="s">
        <v>6210</v>
      </c>
      <c r="H231">
        <v>18706</v>
      </c>
      <c r="I231" t="s">
        <v>1947</v>
      </c>
      <c r="J231" t="s">
        <v>480</v>
      </c>
    </row>
    <row r="232" spans="1:10" x14ac:dyDescent="0.25">
      <c r="A232" t="s">
        <v>482</v>
      </c>
      <c r="B232" t="s">
        <v>3000</v>
      </c>
      <c r="C232" t="s">
        <v>3001</v>
      </c>
      <c r="D232" t="s">
        <v>3002</v>
      </c>
      <c r="E232" t="s">
        <v>3003</v>
      </c>
      <c r="F232" t="s">
        <v>2690</v>
      </c>
      <c r="G232" t="s">
        <v>6210</v>
      </c>
      <c r="H232">
        <v>27499</v>
      </c>
      <c r="I232" t="s">
        <v>1947</v>
      </c>
      <c r="J232" t="s">
        <v>482</v>
      </c>
    </row>
    <row r="233" spans="1:10" x14ac:dyDescent="0.25">
      <c r="A233" t="s">
        <v>484</v>
      </c>
      <c r="B233" t="s">
        <v>3004</v>
      </c>
      <c r="D233" t="s">
        <v>3005</v>
      </c>
      <c r="E233" t="s">
        <v>3006</v>
      </c>
      <c r="F233" t="s">
        <v>2252</v>
      </c>
      <c r="G233" t="s">
        <v>6210</v>
      </c>
      <c r="H233">
        <v>19725</v>
      </c>
      <c r="I233" t="s">
        <v>1938</v>
      </c>
      <c r="J233" t="s">
        <v>484</v>
      </c>
    </row>
    <row r="234" spans="1:10" x14ac:dyDescent="0.25">
      <c r="A234" t="s">
        <v>486</v>
      </c>
      <c r="B234" t="s">
        <v>3007</v>
      </c>
      <c r="C234" t="s">
        <v>3008</v>
      </c>
      <c r="D234" t="s">
        <v>3009</v>
      </c>
      <c r="E234" t="s">
        <v>3010</v>
      </c>
      <c r="F234" t="s">
        <v>2195</v>
      </c>
      <c r="G234" t="s">
        <v>2112</v>
      </c>
      <c r="H234" t="s">
        <v>2196</v>
      </c>
      <c r="I234" t="s">
        <v>1947</v>
      </c>
      <c r="J234" t="s">
        <v>486</v>
      </c>
    </row>
    <row r="235" spans="1:10" x14ac:dyDescent="0.25">
      <c r="A235" t="s">
        <v>488</v>
      </c>
      <c r="B235" t="s">
        <v>3011</v>
      </c>
      <c r="C235" t="s">
        <v>3012</v>
      </c>
      <c r="D235" t="s">
        <v>3013</v>
      </c>
      <c r="E235" t="s">
        <v>3014</v>
      </c>
      <c r="F235" t="s">
        <v>2588</v>
      </c>
      <c r="G235" t="s">
        <v>6210</v>
      </c>
      <c r="H235">
        <v>96825</v>
      </c>
      <c r="I235" t="s">
        <v>1947</v>
      </c>
      <c r="J235" t="s">
        <v>488</v>
      </c>
    </row>
    <row r="236" spans="1:10" x14ac:dyDescent="0.25">
      <c r="A236" t="s">
        <v>490</v>
      </c>
      <c r="B236" t="s">
        <v>3015</v>
      </c>
      <c r="C236" t="s">
        <v>3016</v>
      </c>
      <c r="D236" t="s">
        <v>3017</v>
      </c>
      <c r="E236" t="s">
        <v>3018</v>
      </c>
      <c r="F236" t="s">
        <v>2033</v>
      </c>
      <c r="G236" t="s">
        <v>6210</v>
      </c>
      <c r="H236">
        <v>10150</v>
      </c>
      <c r="I236" t="s">
        <v>1947</v>
      </c>
      <c r="J236" t="s">
        <v>490</v>
      </c>
    </row>
    <row r="237" spans="1:10" x14ac:dyDescent="0.25">
      <c r="A237" t="s">
        <v>492</v>
      </c>
      <c r="B237" t="s">
        <v>3019</v>
      </c>
      <c r="E237" t="s">
        <v>3020</v>
      </c>
      <c r="F237" t="s">
        <v>3021</v>
      </c>
      <c r="G237" t="s">
        <v>1945</v>
      </c>
      <c r="H237" t="s">
        <v>3022</v>
      </c>
      <c r="I237" t="s">
        <v>1947</v>
      </c>
      <c r="J237" t="s">
        <v>492</v>
      </c>
    </row>
    <row r="238" spans="1:10" x14ac:dyDescent="0.25">
      <c r="A238" t="s">
        <v>494</v>
      </c>
      <c r="B238" t="s">
        <v>3023</v>
      </c>
      <c r="C238" t="s">
        <v>3024</v>
      </c>
      <c r="D238" t="s">
        <v>3025</v>
      </c>
      <c r="E238" t="s">
        <v>3026</v>
      </c>
      <c r="F238" t="s">
        <v>3027</v>
      </c>
      <c r="G238" t="s">
        <v>1945</v>
      </c>
      <c r="H238" t="s">
        <v>3028</v>
      </c>
      <c r="I238" t="s">
        <v>1947</v>
      </c>
      <c r="J238" t="s">
        <v>494</v>
      </c>
    </row>
    <row r="239" spans="1:10" x14ac:dyDescent="0.25">
      <c r="A239" t="s">
        <v>496</v>
      </c>
      <c r="B239" t="s">
        <v>3029</v>
      </c>
      <c r="D239" t="s">
        <v>3030</v>
      </c>
      <c r="E239" t="s">
        <v>3031</v>
      </c>
      <c r="F239" t="s">
        <v>3032</v>
      </c>
      <c r="G239" t="s">
        <v>6210</v>
      </c>
      <c r="H239">
        <v>45218</v>
      </c>
      <c r="I239" t="s">
        <v>1938</v>
      </c>
      <c r="J239" t="s">
        <v>496</v>
      </c>
    </row>
    <row r="240" spans="1:10" x14ac:dyDescent="0.25">
      <c r="A240" t="s">
        <v>498</v>
      </c>
      <c r="B240" t="s">
        <v>3033</v>
      </c>
      <c r="C240" t="s">
        <v>3034</v>
      </c>
      <c r="D240" t="s">
        <v>3035</v>
      </c>
      <c r="E240" t="s">
        <v>3036</v>
      </c>
      <c r="F240" t="s">
        <v>2316</v>
      </c>
      <c r="G240" t="s">
        <v>6210</v>
      </c>
      <c r="H240">
        <v>48670</v>
      </c>
      <c r="I240" t="s">
        <v>1938</v>
      </c>
      <c r="J240" t="s">
        <v>498</v>
      </c>
    </row>
    <row r="241" spans="1:10" x14ac:dyDescent="0.25">
      <c r="A241" t="s">
        <v>500</v>
      </c>
      <c r="B241" t="s">
        <v>3037</v>
      </c>
      <c r="C241" t="s">
        <v>3038</v>
      </c>
      <c r="D241" t="s">
        <v>3039</v>
      </c>
      <c r="E241" t="s">
        <v>3040</v>
      </c>
      <c r="F241" t="s">
        <v>3041</v>
      </c>
      <c r="G241" t="s">
        <v>6210</v>
      </c>
      <c r="H241">
        <v>82007</v>
      </c>
      <c r="I241" t="s">
        <v>1947</v>
      </c>
      <c r="J241" t="s">
        <v>500</v>
      </c>
    </row>
    <row r="242" spans="1:10" x14ac:dyDescent="0.25">
      <c r="A242" t="s">
        <v>502</v>
      </c>
      <c r="B242" t="s">
        <v>3042</v>
      </c>
      <c r="E242" t="s">
        <v>3043</v>
      </c>
      <c r="F242" t="s">
        <v>3044</v>
      </c>
      <c r="G242" t="s">
        <v>6210</v>
      </c>
      <c r="H242">
        <v>31119</v>
      </c>
      <c r="I242" t="s">
        <v>1938</v>
      </c>
      <c r="J242" t="s">
        <v>502</v>
      </c>
    </row>
    <row r="243" spans="1:10" x14ac:dyDescent="0.25">
      <c r="A243" t="s">
        <v>504</v>
      </c>
      <c r="B243" t="s">
        <v>3045</v>
      </c>
      <c r="D243" t="s">
        <v>3046</v>
      </c>
      <c r="E243" t="s">
        <v>3047</v>
      </c>
      <c r="F243" t="s">
        <v>3048</v>
      </c>
      <c r="G243" t="s">
        <v>6210</v>
      </c>
      <c r="H243">
        <v>30096</v>
      </c>
      <c r="I243" t="s">
        <v>1947</v>
      </c>
      <c r="J243" t="s">
        <v>504</v>
      </c>
    </row>
    <row r="244" spans="1:10" x14ac:dyDescent="0.25">
      <c r="A244" t="s">
        <v>506</v>
      </c>
      <c r="B244" t="s">
        <v>3049</v>
      </c>
      <c r="C244" t="s">
        <v>3050</v>
      </c>
      <c r="D244" t="s">
        <v>3051</v>
      </c>
      <c r="E244" t="s">
        <v>3052</v>
      </c>
      <c r="F244" t="s">
        <v>2994</v>
      </c>
      <c r="G244" t="s">
        <v>6210</v>
      </c>
      <c r="H244">
        <v>94250</v>
      </c>
      <c r="I244" t="s">
        <v>1938</v>
      </c>
      <c r="J244" t="s">
        <v>506</v>
      </c>
    </row>
    <row r="245" spans="1:10" x14ac:dyDescent="0.25">
      <c r="A245" t="s">
        <v>508</v>
      </c>
      <c r="B245" t="s">
        <v>3053</v>
      </c>
      <c r="C245" t="s">
        <v>3054</v>
      </c>
      <c r="D245" t="s">
        <v>3055</v>
      </c>
      <c r="E245" t="s">
        <v>3056</v>
      </c>
      <c r="F245" t="s">
        <v>2216</v>
      </c>
      <c r="G245" t="s">
        <v>6210</v>
      </c>
      <c r="H245">
        <v>33661</v>
      </c>
      <c r="I245" t="s">
        <v>1938</v>
      </c>
      <c r="J245" t="s">
        <v>508</v>
      </c>
    </row>
    <row r="246" spans="1:10" x14ac:dyDescent="0.25">
      <c r="A246" t="s">
        <v>510</v>
      </c>
      <c r="B246" t="s">
        <v>3057</v>
      </c>
      <c r="C246" t="s">
        <v>3058</v>
      </c>
      <c r="D246" t="s">
        <v>3059</v>
      </c>
      <c r="E246" t="s">
        <v>3060</v>
      </c>
      <c r="F246" t="s">
        <v>2588</v>
      </c>
      <c r="G246" t="s">
        <v>6210</v>
      </c>
      <c r="H246">
        <v>96805</v>
      </c>
      <c r="I246" t="s">
        <v>1947</v>
      </c>
      <c r="J246" t="s">
        <v>510</v>
      </c>
    </row>
    <row r="247" spans="1:10" x14ac:dyDescent="0.25">
      <c r="A247" t="s">
        <v>512</v>
      </c>
      <c r="B247" t="s">
        <v>3061</v>
      </c>
      <c r="C247" t="s">
        <v>3062</v>
      </c>
      <c r="D247" t="s">
        <v>3063</v>
      </c>
      <c r="E247" t="s">
        <v>3064</v>
      </c>
      <c r="F247" t="s">
        <v>3065</v>
      </c>
      <c r="G247" t="s">
        <v>6210</v>
      </c>
      <c r="H247">
        <v>70820</v>
      </c>
      <c r="I247" t="s">
        <v>1938</v>
      </c>
      <c r="J247" t="s">
        <v>512</v>
      </c>
    </row>
    <row r="248" spans="1:10" x14ac:dyDescent="0.25">
      <c r="A248" t="s">
        <v>514</v>
      </c>
      <c r="B248" t="s">
        <v>3066</v>
      </c>
      <c r="C248" t="s">
        <v>3067</v>
      </c>
      <c r="D248" t="s">
        <v>3068</v>
      </c>
      <c r="E248" t="s">
        <v>3069</v>
      </c>
      <c r="F248" t="s">
        <v>3070</v>
      </c>
      <c r="G248" t="s">
        <v>2112</v>
      </c>
      <c r="H248" t="s">
        <v>3071</v>
      </c>
      <c r="I248" t="s">
        <v>1947</v>
      </c>
      <c r="J248" t="s">
        <v>514</v>
      </c>
    </row>
    <row r="249" spans="1:10" x14ac:dyDescent="0.25">
      <c r="A249" t="s">
        <v>516</v>
      </c>
      <c r="B249" t="s">
        <v>3072</v>
      </c>
      <c r="D249" t="s">
        <v>3073</v>
      </c>
      <c r="E249" t="s">
        <v>3074</v>
      </c>
      <c r="F249" t="s">
        <v>3075</v>
      </c>
      <c r="G249" t="s">
        <v>1945</v>
      </c>
      <c r="H249" t="s">
        <v>3076</v>
      </c>
      <c r="I249" t="s">
        <v>1938</v>
      </c>
      <c r="J249" t="s">
        <v>516</v>
      </c>
    </row>
    <row r="250" spans="1:10" x14ac:dyDescent="0.25">
      <c r="A250" t="s">
        <v>518</v>
      </c>
      <c r="B250" t="s">
        <v>3077</v>
      </c>
      <c r="C250" t="s">
        <v>3078</v>
      </c>
      <c r="D250" t="s">
        <v>3079</v>
      </c>
      <c r="E250" t="s">
        <v>3080</v>
      </c>
      <c r="F250" t="s">
        <v>2133</v>
      </c>
      <c r="G250" t="s">
        <v>6210</v>
      </c>
      <c r="H250">
        <v>55458</v>
      </c>
      <c r="I250" t="s">
        <v>1938</v>
      </c>
      <c r="J250" t="s">
        <v>518</v>
      </c>
    </row>
    <row r="251" spans="1:10" x14ac:dyDescent="0.25">
      <c r="A251" t="s">
        <v>3081</v>
      </c>
      <c r="B251" t="s">
        <v>3082</v>
      </c>
      <c r="D251" t="s">
        <v>3083</v>
      </c>
      <c r="E251" t="s">
        <v>3084</v>
      </c>
      <c r="F251" t="s">
        <v>3085</v>
      </c>
      <c r="G251" t="s">
        <v>6210</v>
      </c>
      <c r="H251">
        <v>94159</v>
      </c>
      <c r="I251" t="s">
        <v>1947</v>
      </c>
      <c r="J251" t="s">
        <v>3081</v>
      </c>
    </row>
    <row r="252" spans="1:10" x14ac:dyDescent="0.25">
      <c r="A252" t="s">
        <v>522</v>
      </c>
      <c r="B252" t="s">
        <v>3086</v>
      </c>
      <c r="C252" t="s">
        <v>3087</v>
      </c>
      <c r="D252" t="s">
        <v>3088</v>
      </c>
      <c r="E252" t="s">
        <v>3089</v>
      </c>
      <c r="F252" t="s">
        <v>2296</v>
      </c>
      <c r="G252" t="s">
        <v>6210</v>
      </c>
      <c r="H252">
        <v>28225</v>
      </c>
      <c r="I252" t="s">
        <v>1938</v>
      </c>
      <c r="J252" t="s">
        <v>522</v>
      </c>
    </row>
    <row r="253" spans="1:10" x14ac:dyDescent="0.25">
      <c r="A253" t="s">
        <v>524</v>
      </c>
      <c r="B253" t="s">
        <v>3090</v>
      </c>
      <c r="C253" t="s">
        <v>3091</v>
      </c>
      <c r="D253" t="s">
        <v>3092</v>
      </c>
      <c r="E253" t="s">
        <v>3093</v>
      </c>
      <c r="F253" t="s">
        <v>3094</v>
      </c>
      <c r="G253" t="s">
        <v>6210</v>
      </c>
      <c r="H253">
        <v>85099</v>
      </c>
      <c r="I253" t="s">
        <v>1938</v>
      </c>
      <c r="J253" t="s">
        <v>524</v>
      </c>
    </row>
    <row r="254" spans="1:10" x14ac:dyDescent="0.25">
      <c r="A254" t="s">
        <v>526</v>
      </c>
      <c r="B254" t="s">
        <v>3095</v>
      </c>
      <c r="D254" t="s">
        <v>3096</v>
      </c>
      <c r="E254" t="s">
        <v>3097</v>
      </c>
      <c r="F254" t="s">
        <v>2095</v>
      </c>
      <c r="G254" t="s">
        <v>6210</v>
      </c>
      <c r="H254">
        <v>11407</v>
      </c>
      <c r="I254" t="s">
        <v>1947</v>
      </c>
      <c r="J254" t="s">
        <v>526</v>
      </c>
    </row>
    <row r="255" spans="1:10" x14ac:dyDescent="0.25">
      <c r="A255" t="s">
        <v>528</v>
      </c>
      <c r="B255" t="s">
        <v>3098</v>
      </c>
      <c r="C255" t="s">
        <v>3099</v>
      </c>
      <c r="D255" t="s">
        <v>3100</v>
      </c>
      <c r="E255" t="s">
        <v>3101</v>
      </c>
      <c r="F255" t="s">
        <v>3102</v>
      </c>
      <c r="G255" t="s">
        <v>6210</v>
      </c>
      <c r="H255">
        <v>61825</v>
      </c>
      <c r="I255" t="s">
        <v>1947</v>
      </c>
      <c r="J255" t="s">
        <v>528</v>
      </c>
    </row>
    <row r="256" spans="1:10" x14ac:dyDescent="0.25">
      <c r="A256" t="s">
        <v>530</v>
      </c>
      <c r="B256" t="s">
        <v>3103</v>
      </c>
      <c r="C256" t="s">
        <v>3104</v>
      </c>
      <c r="E256" t="s">
        <v>3105</v>
      </c>
      <c r="F256" t="s">
        <v>3106</v>
      </c>
      <c r="G256" t="s">
        <v>2112</v>
      </c>
      <c r="H256" t="s">
        <v>3107</v>
      </c>
      <c r="I256" t="s">
        <v>1947</v>
      </c>
      <c r="J256" t="s">
        <v>530</v>
      </c>
    </row>
    <row r="257" spans="1:10" x14ac:dyDescent="0.25">
      <c r="A257" t="s">
        <v>532</v>
      </c>
      <c r="B257" t="s">
        <v>3108</v>
      </c>
      <c r="C257" t="s">
        <v>3109</v>
      </c>
      <c r="D257" t="s">
        <v>3110</v>
      </c>
      <c r="E257" t="s">
        <v>3111</v>
      </c>
      <c r="F257" t="s">
        <v>2136</v>
      </c>
      <c r="G257" t="s">
        <v>6210</v>
      </c>
      <c r="H257">
        <v>85715</v>
      </c>
      <c r="I257" t="s">
        <v>1947</v>
      </c>
      <c r="J257" t="s">
        <v>532</v>
      </c>
    </row>
    <row r="258" spans="1:10" x14ac:dyDescent="0.25">
      <c r="A258" t="s">
        <v>520</v>
      </c>
      <c r="B258" t="s">
        <v>3112</v>
      </c>
      <c r="C258" t="s">
        <v>3113</v>
      </c>
      <c r="D258" t="s">
        <v>3114</v>
      </c>
      <c r="E258" t="s">
        <v>3115</v>
      </c>
      <c r="F258" t="s">
        <v>3116</v>
      </c>
      <c r="G258" t="s">
        <v>6210</v>
      </c>
      <c r="H258">
        <v>53205</v>
      </c>
      <c r="I258" t="s">
        <v>1938</v>
      </c>
      <c r="J258" t="s">
        <v>520</v>
      </c>
    </row>
    <row r="259" spans="1:10" x14ac:dyDescent="0.25">
      <c r="A259" t="s">
        <v>535</v>
      </c>
      <c r="B259" t="s">
        <v>3117</v>
      </c>
      <c r="C259" t="s">
        <v>3118</v>
      </c>
      <c r="D259" t="s">
        <v>3119</v>
      </c>
      <c r="E259" t="s">
        <v>3120</v>
      </c>
      <c r="F259" t="s">
        <v>2856</v>
      </c>
      <c r="G259" t="s">
        <v>6210</v>
      </c>
      <c r="H259">
        <v>33064</v>
      </c>
      <c r="I259" t="s">
        <v>1938</v>
      </c>
      <c r="J259" t="s">
        <v>535</v>
      </c>
    </row>
    <row r="260" spans="1:10" x14ac:dyDescent="0.25">
      <c r="A260" t="s">
        <v>538</v>
      </c>
      <c r="B260" t="s">
        <v>3121</v>
      </c>
      <c r="C260" t="s">
        <v>3122</v>
      </c>
      <c r="D260" t="s">
        <v>3123</v>
      </c>
      <c r="E260" t="s">
        <v>3124</v>
      </c>
      <c r="F260" t="s">
        <v>2753</v>
      </c>
      <c r="G260" t="s">
        <v>6210</v>
      </c>
      <c r="H260">
        <v>90610</v>
      </c>
      <c r="I260" t="s">
        <v>1947</v>
      </c>
      <c r="J260" t="s">
        <v>538</v>
      </c>
    </row>
    <row r="261" spans="1:10" x14ac:dyDescent="0.25">
      <c r="A261" t="s">
        <v>540</v>
      </c>
      <c r="B261" t="s">
        <v>3125</v>
      </c>
      <c r="C261" t="s">
        <v>3126</v>
      </c>
      <c r="D261" t="s">
        <v>3127</v>
      </c>
      <c r="E261" t="s">
        <v>3128</v>
      </c>
      <c r="F261" t="s">
        <v>3129</v>
      </c>
      <c r="G261" t="s">
        <v>2112</v>
      </c>
      <c r="H261" t="s">
        <v>3130</v>
      </c>
      <c r="I261" t="s">
        <v>1947</v>
      </c>
      <c r="J261" t="s">
        <v>540</v>
      </c>
    </row>
    <row r="262" spans="1:10" x14ac:dyDescent="0.25">
      <c r="A262" t="s">
        <v>542</v>
      </c>
      <c r="B262" t="s">
        <v>3131</v>
      </c>
      <c r="C262" t="s">
        <v>3132</v>
      </c>
      <c r="E262" t="s">
        <v>3133</v>
      </c>
      <c r="F262" t="s">
        <v>2009</v>
      </c>
      <c r="G262" t="s">
        <v>6210</v>
      </c>
      <c r="H262">
        <v>63180</v>
      </c>
      <c r="I262" t="s">
        <v>1938</v>
      </c>
      <c r="J262" t="s">
        <v>542</v>
      </c>
    </row>
    <row r="263" spans="1:10" x14ac:dyDescent="0.25">
      <c r="A263" t="s">
        <v>544</v>
      </c>
      <c r="B263" t="s">
        <v>3134</v>
      </c>
      <c r="C263" t="s">
        <v>3135</v>
      </c>
      <c r="D263" t="s">
        <v>3136</v>
      </c>
      <c r="E263" t="s">
        <v>3137</v>
      </c>
      <c r="F263" t="s">
        <v>3138</v>
      </c>
      <c r="G263" t="s">
        <v>6210</v>
      </c>
      <c r="H263">
        <v>16522</v>
      </c>
      <c r="I263" t="s">
        <v>1938</v>
      </c>
      <c r="J263" t="s">
        <v>544</v>
      </c>
    </row>
    <row r="264" spans="1:10" x14ac:dyDescent="0.25">
      <c r="A264" t="s">
        <v>546</v>
      </c>
      <c r="B264" t="s">
        <v>3139</v>
      </c>
      <c r="C264" t="s">
        <v>3140</v>
      </c>
      <c r="D264" t="s">
        <v>3141</v>
      </c>
      <c r="E264" t="s">
        <v>3142</v>
      </c>
      <c r="F264" t="s">
        <v>3143</v>
      </c>
      <c r="G264" t="s">
        <v>6210</v>
      </c>
      <c r="H264">
        <v>98464</v>
      </c>
      <c r="I264" t="s">
        <v>1947</v>
      </c>
      <c r="J264" t="s">
        <v>546</v>
      </c>
    </row>
    <row r="265" spans="1:10" x14ac:dyDescent="0.25">
      <c r="A265" t="s">
        <v>548</v>
      </c>
      <c r="B265" t="s">
        <v>3144</v>
      </c>
      <c r="D265" t="s">
        <v>3145</v>
      </c>
      <c r="E265" t="s">
        <v>3146</v>
      </c>
      <c r="F265" t="s">
        <v>2000</v>
      </c>
      <c r="G265" t="s">
        <v>6210</v>
      </c>
      <c r="H265">
        <v>23277</v>
      </c>
      <c r="I265" t="s">
        <v>1947</v>
      </c>
      <c r="J265" t="s">
        <v>548</v>
      </c>
    </row>
    <row r="266" spans="1:10" x14ac:dyDescent="0.25">
      <c r="A266" t="s">
        <v>550</v>
      </c>
      <c r="B266" t="s">
        <v>3147</v>
      </c>
      <c r="D266" t="s">
        <v>3148</v>
      </c>
      <c r="E266" t="s">
        <v>3149</v>
      </c>
      <c r="F266" t="s">
        <v>3150</v>
      </c>
      <c r="G266" t="s">
        <v>1945</v>
      </c>
      <c r="H266" t="s">
        <v>2541</v>
      </c>
      <c r="I266" t="s">
        <v>1938</v>
      </c>
      <c r="J266" t="s">
        <v>550</v>
      </c>
    </row>
    <row r="267" spans="1:10" x14ac:dyDescent="0.25">
      <c r="A267" t="s">
        <v>552</v>
      </c>
      <c r="B267" t="s">
        <v>3151</v>
      </c>
      <c r="C267" t="s">
        <v>3152</v>
      </c>
      <c r="D267" t="s">
        <v>3153</v>
      </c>
      <c r="E267" t="s">
        <v>3154</v>
      </c>
      <c r="F267" t="s">
        <v>2123</v>
      </c>
      <c r="G267" t="s">
        <v>6210</v>
      </c>
      <c r="H267">
        <v>72204</v>
      </c>
      <c r="I267" t="s">
        <v>1938</v>
      </c>
      <c r="J267" t="s">
        <v>552</v>
      </c>
    </row>
    <row r="268" spans="1:10" x14ac:dyDescent="0.25">
      <c r="A268" t="s">
        <v>554</v>
      </c>
      <c r="B268" t="s">
        <v>3155</v>
      </c>
      <c r="C268" t="s">
        <v>3156</v>
      </c>
      <c r="D268" t="s">
        <v>3157</v>
      </c>
      <c r="E268" t="s">
        <v>3158</v>
      </c>
      <c r="F268" t="s">
        <v>3159</v>
      </c>
      <c r="G268" t="s">
        <v>2112</v>
      </c>
      <c r="H268" t="s">
        <v>3160</v>
      </c>
      <c r="I268" t="s">
        <v>1947</v>
      </c>
      <c r="J268" t="s">
        <v>554</v>
      </c>
    </row>
    <row r="269" spans="1:10" x14ac:dyDescent="0.25">
      <c r="A269" t="s">
        <v>556</v>
      </c>
      <c r="B269" t="s">
        <v>3161</v>
      </c>
      <c r="C269" t="s">
        <v>3162</v>
      </c>
      <c r="D269" t="s">
        <v>3163</v>
      </c>
      <c r="E269" t="s">
        <v>3164</v>
      </c>
      <c r="F269" t="s">
        <v>2743</v>
      </c>
      <c r="G269" t="s">
        <v>6210</v>
      </c>
      <c r="H269">
        <v>89436</v>
      </c>
      <c r="I269" t="s">
        <v>1938</v>
      </c>
      <c r="J269" t="s">
        <v>556</v>
      </c>
    </row>
    <row r="270" spans="1:10" x14ac:dyDescent="0.25">
      <c r="A270" t="s">
        <v>3165</v>
      </c>
      <c r="B270" t="s">
        <v>3166</v>
      </c>
      <c r="D270" t="s">
        <v>3167</v>
      </c>
      <c r="E270" t="s">
        <v>3168</v>
      </c>
      <c r="F270" t="s">
        <v>3169</v>
      </c>
      <c r="G270" t="s">
        <v>6210</v>
      </c>
      <c r="H270">
        <v>77806</v>
      </c>
      <c r="I270" t="s">
        <v>1938</v>
      </c>
      <c r="J270" t="s">
        <v>3165</v>
      </c>
    </row>
    <row r="271" spans="1:10" x14ac:dyDescent="0.25">
      <c r="A271" t="s">
        <v>559</v>
      </c>
      <c r="B271" t="s">
        <v>3170</v>
      </c>
      <c r="C271" t="s">
        <v>3171</v>
      </c>
      <c r="D271" t="s">
        <v>3172</v>
      </c>
      <c r="E271" t="s">
        <v>3173</v>
      </c>
      <c r="F271" t="s">
        <v>3174</v>
      </c>
      <c r="G271" t="s">
        <v>6210</v>
      </c>
      <c r="H271">
        <v>76210</v>
      </c>
      <c r="I271" t="s">
        <v>1947</v>
      </c>
      <c r="J271" t="s">
        <v>559</v>
      </c>
    </row>
    <row r="272" spans="1:10" x14ac:dyDescent="0.25">
      <c r="A272" t="s">
        <v>561</v>
      </c>
      <c r="B272" t="s">
        <v>3175</v>
      </c>
      <c r="E272" t="s">
        <v>3176</v>
      </c>
      <c r="F272" t="s">
        <v>3177</v>
      </c>
      <c r="G272" t="s">
        <v>1945</v>
      </c>
      <c r="H272" t="s">
        <v>3178</v>
      </c>
      <c r="I272" t="s">
        <v>1938</v>
      </c>
      <c r="J272" t="s">
        <v>561</v>
      </c>
    </row>
    <row r="273" spans="1:10" x14ac:dyDescent="0.25">
      <c r="A273" t="s">
        <v>563</v>
      </c>
      <c r="B273" t="s">
        <v>3179</v>
      </c>
      <c r="C273" t="s">
        <v>3180</v>
      </c>
      <c r="D273" t="s">
        <v>3181</v>
      </c>
      <c r="E273" t="s">
        <v>3182</v>
      </c>
      <c r="F273" t="s">
        <v>3183</v>
      </c>
      <c r="G273" t="s">
        <v>6210</v>
      </c>
      <c r="H273">
        <v>27635</v>
      </c>
      <c r="I273" t="s">
        <v>1938</v>
      </c>
      <c r="J273" t="s">
        <v>563</v>
      </c>
    </row>
    <row r="274" spans="1:10" x14ac:dyDescent="0.25">
      <c r="A274" t="s">
        <v>565</v>
      </c>
      <c r="B274" t="s">
        <v>3184</v>
      </c>
      <c r="C274" t="s">
        <v>3185</v>
      </c>
      <c r="D274" t="s">
        <v>3186</v>
      </c>
      <c r="E274" t="s">
        <v>3187</v>
      </c>
      <c r="F274" t="s">
        <v>3188</v>
      </c>
      <c r="G274" t="s">
        <v>1945</v>
      </c>
      <c r="H274" t="s">
        <v>3189</v>
      </c>
      <c r="I274" t="s">
        <v>1938</v>
      </c>
      <c r="J274" t="s">
        <v>565</v>
      </c>
    </row>
    <row r="275" spans="1:10" x14ac:dyDescent="0.25">
      <c r="A275" t="s">
        <v>567</v>
      </c>
      <c r="B275" t="s">
        <v>3190</v>
      </c>
      <c r="C275" t="s">
        <v>3191</v>
      </c>
      <c r="D275" t="s">
        <v>3192</v>
      </c>
      <c r="E275" t="s">
        <v>3193</v>
      </c>
      <c r="F275" t="s">
        <v>2033</v>
      </c>
      <c r="G275" t="s">
        <v>6210</v>
      </c>
      <c r="H275">
        <v>10105</v>
      </c>
      <c r="I275" t="s">
        <v>1947</v>
      </c>
      <c r="J275" t="s">
        <v>567</v>
      </c>
    </row>
    <row r="276" spans="1:10" x14ac:dyDescent="0.25">
      <c r="A276" t="s">
        <v>569</v>
      </c>
      <c r="B276" t="s">
        <v>3194</v>
      </c>
      <c r="C276" t="s">
        <v>3195</v>
      </c>
      <c r="D276" t="s">
        <v>3196</v>
      </c>
      <c r="E276" t="s">
        <v>3197</v>
      </c>
      <c r="F276" t="s">
        <v>2521</v>
      </c>
      <c r="G276" t="s">
        <v>6210</v>
      </c>
      <c r="H276">
        <v>6905</v>
      </c>
      <c r="I276" t="s">
        <v>1947</v>
      </c>
      <c r="J276" t="s">
        <v>569</v>
      </c>
    </row>
    <row r="277" spans="1:10" x14ac:dyDescent="0.25">
      <c r="A277" t="s">
        <v>571</v>
      </c>
      <c r="B277" t="s">
        <v>3198</v>
      </c>
      <c r="C277" t="s">
        <v>3199</v>
      </c>
      <c r="D277" t="s">
        <v>3200</v>
      </c>
      <c r="E277" t="s">
        <v>3201</v>
      </c>
      <c r="F277" t="s">
        <v>2207</v>
      </c>
      <c r="G277" t="s">
        <v>6210</v>
      </c>
      <c r="H277">
        <v>43666</v>
      </c>
      <c r="I277" t="s">
        <v>1947</v>
      </c>
      <c r="J277" t="s">
        <v>571</v>
      </c>
    </row>
    <row r="278" spans="1:10" x14ac:dyDescent="0.25">
      <c r="A278" t="s">
        <v>573</v>
      </c>
      <c r="B278" t="s">
        <v>3202</v>
      </c>
      <c r="C278" t="s">
        <v>3203</v>
      </c>
      <c r="D278" t="s">
        <v>3204</v>
      </c>
      <c r="E278" t="s">
        <v>3205</v>
      </c>
      <c r="F278" t="s">
        <v>3206</v>
      </c>
      <c r="G278" t="s">
        <v>1945</v>
      </c>
      <c r="H278" t="s">
        <v>3207</v>
      </c>
      <c r="I278" t="s">
        <v>1938</v>
      </c>
      <c r="J278" t="s">
        <v>573</v>
      </c>
    </row>
    <row r="279" spans="1:10" x14ac:dyDescent="0.25">
      <c r="A279" t="s">
        <v>575</v>
      </c>
      <c r="B279" t="s">
        <v>3208</v>
      </c>
      <c r="C279" t="s">
        <v>3209</v>
      </c>
      <c r="D279" t="s">
        <v>3210</v>
      </c>
      <c r="E279" t="s">
        <v>3211</v>
      </c>
      <c r="F279" t="s">
        <v>3212</v>
      </c>
      <c r="G279" t="s">
        <v>6210</v>
      </c>
      <c r="H279">
        <v>65211</v>
      </c>
      <c r="I279" t="s">
        <v>1947</v>
      </c>
      <c r="J279" t="s">
        <v>575</v>
      </c>
    </row>
    <row r="280" spans="1:10" x14ac:dyDescent="0.25">
      <c r="A280" t="s">
        <v>577</v>
      </c>
      <c r="B280" t="s">
        <v>3213</v>
      </c>
      <c r="C280" t="s">
        <v>3214</v>
      </c>
      <c r="D280" t="s">
        <v>3215</v>
      </c>
      <c r="E280" t="s">
        <v>3216</v>
      </c>
      <c r="F280" t="s">
        <v>2234</v>
      </c>
      <c r="G280" t="s">
        <v>6210</v>
      </c>
      <c r="H280">
        <v>46852</v>
      </c>
      <c r="I280" t="s">
        <v>1938</v>
      </c>
      <c r="J280" t="s">
        <v>577</v>
      </c>
    </row>
    <row r="281" spans="1:10" x14ac:dyDescent="0.25">
      <c r="A281" t="s">
        <v>579</v>
      </c>
      <c r="B281" t="s">
        <v>3217</v>
      </c>
      <c r="C281" t="s">
        <v>3218</v>
      </c>
      <c r="D281" t="s">
        <v>3219</v>
      </c>
      <c r="E281" t="s">
        <v>3220</v>
      </c>
      <c r="F281" t="s">
        <v>2009</v>
      </c>
      <c r="G281" t="s">
        <v>6210</v>
      </c>
      <c r="H281">
        <v>63143</v>
      </c>
      <c r="I281" t="s">
        <v>1938</v>
      </c>
      <c r="J281" t="s">
        <v>579</v>
      </c>
    </row>
    <row r="282" spans="1:10" x14ac:dyDescent="0.25">
      <c r="A282" t="s">
        <v>581</v>
      </c>
      <c r="B282" t="s">
        <v>3221</v>
      </c>
      <c r="D282" t="s">
        <v>3222</v>
      </c>
      <c r="E282" t="s">
        <v>3223</v>
      </c>
      <c r="F282" t="s">
        <v>2018</v>
      </c>
      <c r="G282" t="s">
        <v>6210</v>
      </c>
      <c r="H282">
        <v>97211</v>
      </c>
      <c r="I282" t="s">
        <v>1938</v>
      </c>
      <c r="J282" t="s">
        <v>581</v>
      </c>
    </row>
    <row r="283" spans="1:10" x14ac:dyDescent="0.25">
      <c r="A283" t="s">
        <v>583</v>
      </c>
      <c r="B283" t="s">
        <v>3224</v>
      </c>
      <c r="C283" t="s">
        <v>3225</v>
      </c>
      <c r="D283" t="s">
        <v>3226</v>
      </c>
      <c r="E283" t="s">
        <v>3227</v>
      </c>
      <c r="F283" t="s">
        <v>3228</v>
      </c>
      <c r="G283" t="s">
        <v>6210</v>
      </c>
      <c r="H283">
        <v>80305</v>
      </c>
      <c r="I283" t="s">
        <v>1938</v>
      </c>
      <c r="J283" t="s">
        <v>583</v>
      </c>
    </row>
    <row r="284" spans="1:10" x14ac:dyDescent="0.25">
      <c r="A284" t="s">
        <v>585</v>
      </c>
      <c r="B284" t="s">
        <v>3229</v>
      </c>
      <c r="C284" t="s">
        <v>3230</v>
      </c>
      <c r="D284" t="s">
        <v>3231</v>
      </c>
      <c r="E284" t="s">
        <v>3232</v>
      </c>
      <c r="F284" t="s">
        <v>3233</v>
      </c>
      <c r="G284" t="s">
        <v>2112</v>
      </c>
      <c r="H284" t="s">
        <v>3234</v>
      </c>
      <c r="I284" t="s">
        <v>1947</v>
      </c>
      <c r="J284" t="s">
        <v>585</v>
      </c>
    </row>
    <row r="285" spans="1:10" x14ac:dyDescent="0.25">
      <c r="A285" t="s">
        <v>587</v>
      </c>
      <c r="B285" t="s">
        <v>3235</v>
      </c>
      <c r="C285" t="s">
        <v>3236</v>
      </c>
      <c r="D285" t="s">
        <v>3237</v>
      </c>
      <c r="E285" t="s">
        <v>3238</v>
      </c>
      <c r="F285" t="s">
        <v>3129</v>
      </c>
      <c r="G285" t="s">
        <v>2112</v>
      </c>
      <c r="H285" t="s">
        <v>3130</v>
      </c>
      <c r="I285" t="s">
        <v>1938</v>
      </c>
      <c r="J285" t="s">
        <v>587</v>
      </c>
    </row>
    <row r="286" spans="1:10" x14ac:dyDescent="0.25">
      <c r="A286" t="s">
        <v>589</v>
      </c>
      <c r="B286" t="s">
        <v>3239</v>
      </c>
      <c r="D286" t="s">
        <v>3240</v>
      </c>
      <c r="E286" t="s">
        <v>3241</v>
      </c>
      <c r="F286" t="s">
        <v>3242</v>
      </c>
      <c r="G286" t="s">
        <v>6210</v>
      </c>
      <c r="H286">
        <v>40298</v>
      </c>
      <c r="I286" t="s">
        <v>1947</v>
      </c>
      <c r="J286" t="s">
        <v>589</v>
      </c>
    </row>
    <row r="287" spans="1:10" x14ac:dyDescent="0.25">
      <c r="A287" t="s">
        <v>591</v>
      </c>
      <c r="B287" t="s">
        <v>3243</v>
      </c>
      <c r="D287" t="s">
        <v>3244</v>
      </c>
      <c r="E287" t="s">
        <v>3245</v>
      </c>
      <c r="F287" t="s">
        <v>2346</v>
      </c>
      <c r="G287" t="s">
        <v>6210</v>
      </c>
      <c r="H287">
        <v>14276</v>
      </c>
      <c r="I287" t="s">
        <v>1947</v>
      </c>
      <c r="J287" t="s">
        <v>591</v>
      </c>
    </row>
    <row r="288" spans="1:10" x14ac:dyDescent="0.25">
      <c r="A288" t="s">
        <v>593</v>
      </c>
      <c r="B288" t="s">
        <v>3246</v>
      </c>
      <c r="C288" t="s">
        <v>3247</v>
      </c>
      <c r="E288" t="s">
        <v>3248</v>
      </c>
      <c r="F288" t="s">
        <v>3249</v>
      </c>
      <c r="G288" t="s">
        <v>6210</v>
      </c>
      <c r="H288">
        <v>44710</v>
      </c>
      <c r="I288" t="s">
        <v>1938</v>
      </c>
      <c r="J288" t="s">
        <v>593</v>
      </c>
    </row>
    <row r="289" spans="1:10" x14ac:dyDescent="0.25">
      <c r="A289" t="s">
        <v>595</v>
      </c>
      <c r="B289" t="s">
        <v>3250</v>
      </c>
      <c r="C289" t="s">
        <v>3251</v>
      </c>
      <c r="D289" t="s">
        <v>3252</v>
      </c>
      <c r="E289" t="s">
        <v>3253</v>
      </c>
      <c r="F289" t="s">
        <v>2154</v>
      </c>
      <c r="G289" t="s">
        <v>6210</v>
      </c>
      <c r="H289">
        <v>2114</v>
      </c>
      <c r="I289" t="s">
        <v>1947</v>
      </c>
      <c r="J289" t="s">
        <v>595</v>
      </c>
    </row>
    <row r="290" spans="1:10" x14ac:dyDescent="0.25">
      <c r="A290" t="s">
        <v>597</v>
      </c>
      <c r="B290" t="s">
        <v>3254</v>
      </c>
      <c r="D290" t="s">
        <v>3255</v>
      </c>
      <c r="E290" t="s">
        <v>3256</v>
      </c>
      <c r="F290" t="s">
        <v>3257</v>
      </c>
      <c r="G290" t="s">
        <v>1945</v>
      </c>
      <c r="H290" t="s">
        <v>3258</v>
      </c>
      <c r="I290" t="s">
        <v>1938</v>
      </c>
      <c r="J290" t="s">
        <v>597</v>
      </c>
    </row>
    <row r="291" spans="1:10" x14ac:dyDescent="0.25">
      <c r="A291" t="s">
        <v>599</v>
      </c>
      <c r="B291" t="s">
        <v>3259</v>
      </c>
      <c r="E291" t="s">
        <v>3260</v>
      </c>
      <c r="F291" t="s">
        <v>3261</v>
      </c>
      <c r="G291" t="s">
        <v>6210</v>
      </c>
      <c r="H291">
        <v>24515</v>
      </c>
      <c r="I291" t="s">
        <v>1938</v>
      </c>
      <c r="J291" t="s">
        <v>599</v>
      </c>
    </row>
    <row r="292" spans="1:10" x14ac:dyDescent="0.25">
      <c r="A292" t="s">
        <v>601</v>
      </c>
      <c r="B292" t="s">
        <v>3262</v>
      </c>
      <c r="C292" t="s">
        <v>3263</v>
      </c>
      <c r="D292" t="s">
        <v>3264</v>
      </c>
      <c r="E292" t="s">
        <v>3265</v>
      </c>
      <c r="F292" t="s">
        <v>1982</v>
      </c>
      <c r="G292" t="s">
        <v>6210</v>
      </c>
      <c r="H292">
        <v>90071</v>
      </c>
      <c r="I292" t="s">
        <v>1947</v>
      </c>
      <c r="J292" t="s">
        <v>601</v>
      </c>
    </row>
    <row r="293" spans="1:10" x14ac:dyDescent="0.25">
      <c r="A293" t="s">
        <v>603</v>
      </c>
      <c r="B293" t="s">
        <v>3266</v>
      </c>
      <c r="E293" t="s">
        <v>3267</v>
      </c>
      <c r="F293" t="s">
        <v>2531</v>
      </c>
      <c r="G293" t="s">
        <v>1945</v>
      </c>
      <c r="H293" t="s">
        <v>2532</v>
      </c>
      <c r="I293" t="s">
        <v>1947</v>
      </c>
      <c r="J293" t="s">
        <v>603</v>
      </c>
    </row>
    <row r="294" spans="1:10" x14ac:dyDescent="0.25">
      <c r="A294" t="s">
        <v>605</v>
      </c>
      <c r="B294" t="s">
        <v>3268</v>
      </c>
      <c r="C294" t="s">
        <v>3269</v>
      </c>
      <c r="E294" t="s">
        <v>3270</v>
      </c>
      <c r="F294" t="s">
        <v>2168</v>
      </c>
      <c r="G294" t="s">
        <v>6210</v>
      </c>
      <c r="H294">
        <v>35236</v>
      </c>
      <c r="I294" t="s">
        <v>1947</v>
      </c>
      <c r="J294" t="s">
        <v>605</v>
      </c>
    </row>
    <row r="295" spans="1:10" x14ac:dyDescent="0.25">
      <c r="A295" t="s">
        <v>607</v>
      </c>
      <c r="B295" t="s">
        <v>3271</v>
      </c>
      <c r="C295" t="s">
        <v>3272</v>
      </c>
      <c r="D295" t="s">
        <v>3273</v>
      </c>
      <c r="E295" t="s">
        <v>3274</v>
      </c>
      <c r="F295" t="s">
        <v>2695</v>
      </c>
      <c r="G295" t="s">
        <v>6210</v>
      </c>
      <c r="H295">
        <v>22309</v>
      </c>
      <c r="I295" t="s">
        <v>1947</v>
      </c>
      <c r="J295" t="s">
        <v>607</v>
      </c>
    </row>
    <row r="296" spans="1:10" x14ac:dyDescent="0.25">
      <c r="A296" t="s">
        <v>609</v>
      </c>
      <c r="B296" t="s">
        <v>3275</v>
      </c>
      <c r="D296" t="s">
        <v>3276</v>
      </c>
      <c r="E296" t="s">
        <v>3277</v>
      </c>
      <c r="F296" t="s">
        <v>3278</v>
      </c>
      <c r="G296" t="s">
        <v>6210</v>
      </c>
      <c r="H296">
        <v>6816</v>
      </c>
      <c r="I296" t="s">
        <v>1947</v>
      </c>
      <c r="J296" t="s">
        <v>609</v>
      </c>
    </row>
    <row r="297" spans="1:10" x14ac:dyDescent="0.25">
      <c r="A297" t="s">
        <v>611</v>
      </c>
      <c r="B297" t="s">
        <v>3279</v>
      </c>
      <c r="E297" t="s">
        <v>3280</v>
      </c>
      <c r="F297" t="s">
        <v>2876</v>
      </c>
      <c r="G297" t="s">
        <v>6210</v>
      </c>
      <c r="H297">
        <v>12205</v>
      </c>
      <c r="I297" t="s">
        <v>1947</v>
      </c>
      <c r="J297" t="s">
        <v>611</v>
      </c>
    </row>
    <row r="298" spans="1:10" x14ac:dyDescent="0.25">
      <c r="A298" t="s">
        <v>613</v>
      </c>
      <c r="B298" t="s">
        <v>3281</v>
      </c>
      <c r="C298" t="s">
        <v>3282</v>
      </c>
      <c r="D298" t="s">
        <v>3283</v>
      </c>
      <c r="E298" t="s">
        <v>3284</v>
      </c>
      <c r="F298" t="s">
        <v>2243</v>
      </c>
      <c r="G298" t="s">
        <v>6210</v>
      </c>
      <c r="H298">
        <v>34108</v>
      </c>
      <c r="I298" t="s">
        <v>1938</v>
      </c>
      <c r="J298" t="s">
        <v>613</v>
      </c>
    </row>
    <row r="299" spans="1:10" x14ac:dyDescent="0.25">
      <c r="A299" t="s">
        <v>615</v>
      </c>
      <c r="B299" t="s">
        <v>3285</v>
      </c>
      <c r="C299" t="s">
        <v>3286</v>
      </c>
      <c r="D299" t="s">
        <v>3287</v>
      </c>
      <c r="E299" t="s">
        <v>3288</v>
      </c>
      <c r="F299" t="s">
        <v>3289</v>
      </c>
      <c r="G299" t="s">
        <v>6210</v>
      </c>
      <c r="H299">
        <v>33141</v>
      </c>
      <c r="I299" t="s">
        <v>1938</v>
      </c>
      <c r="J299" t="s">
        <v>615</v>
      </c>
    </row>
    <row r="300" spans="1:10" x14ac:dyDescent="0.25">
      <c r="A300" t="s">
        <v>617</v>
      </c>
      <c r="B300" t="s">
        <v>3290</v>
      </c>
      <c r="C300" t="s">
        <v>3291</v>
      </c>
      <c r="D300" t="s">
        <v>3292</v>
      </c>
      <c r="E300" t="s">
        <v>3293</v>
      </c>
      <c r="F300" t="s">
        <v>3044</v>
      </c>
      <c r="G300" t="s">
        <v>6210</v>
      </c>
      <c r="H300">
        <v>30358</v>
      </c>
      <c r="I300" t="s">
        <v>1938</v>
      </c>
      <c r="J300" t="s">
        <v>617</v>
      </c>
    </row>
    <row r="301" spans="1:10" x14ac:dyDescent="0.25">
      <c r="A301" t="s">
        <v>619</v>
      </c>
      <c r="B301" t="s">
        <v>3294</v>
      </c>
      <c r="C301" t="s">
        <v>3295</v>
      </c>
      <c r="D301" t="s">
        <v>3296</v>
      </c>
      <c r="E301" t="s">
        <v>3297</v>
      </c>
      <c r="F301" t="s">
        <v>3298</v>
      </c>
      <c r="G301" t="s">
        <v>6210</v>
      </c>
      <c r="H301">
        <v>78405</v>
      </c>
      <c r="I301" t="s">
        <v>1938</v>
      </c>
      <c r="J301" t="s">
        <v>619</v>
      </c>
    </row>
    <row r="302" spans="1:10" x14ac:dyDescent="0.25">
      <c r="A302" t="s">
        <v>621</v>
      </c>
      <c r="B302" t="s">
        <v>3299</v>
      </c>
      <c r="C302" t="s">
        <v>3300</v>
      </c>
      <c r="D302" t="s">
        <v>3301</v>
      </c>
      <c r="E302" t="s">
        <v>3302</v>
      </c>
      <c r="F302" t="s">
        <v>2588</v>
      </c>
      <c r="G302" t="s">
        <v>6210</v>
      </c>
      <c r="H302">
        <v>96835</v>
      </c>
      <c r="I302" t="s">
        <v>1938</v>
      </c>
      <c r="J302" t="s">
        <v>621</v>
      </c>
    </row>
    <row r="303" spans="1:10" x14ac:dyDescent="0.25">
      <c r="A303" t="s">
        <v>623</v>
      </c>
      <c r="B303" t="s">
        <v>3303</v>
      </c>
      <c r="C303" t="s">
        <v>3304</v>
      </c>
      <c r="D303" t="s">
        <v>3305</v>
      </c>
      <c r="E303" t="s">
        <v>3306</v>
      </c>
      <c r="F303" t="s">
        <v>2383</v>
      </c>
      <c r="G303" t="s">
        <v>6210</v>
      </c>
      <c r="H303">
        <v>78737</v>
      </c>
      <c r="I303" t="s">
        <v>1938</v>
      </c>
      <c r="J303" t="s">
        <v>623</v>
      </c>
    </row>
    <row r="304" spans="1:10" x14ac:dyDescent="0.25">
      <c r="A304" t="s">
        <v>625</v>
      </c>
      <c r="B304" t="s">
        <v>3307</v>
      </c>
      <c r="C304" t="s">
        <v>3308</v>
      </c>
      <c r="D304" t="s">
        <v>3309</v>
      </c>
      <c r="E304" t="s">
        <v>3310</v>
      </c>
      <c r="F304" t="s">
        <v>3311</v>
      </c>
      <c r="G304" t="s">
        <v>6210</v>
      </c>
      <c r="H304">
        <v>21290</v>
      </c>
      <c r="I304" t="s">
        <v>1947</v>
      </c>
      <c r="J304" t="s">
        <v>625</v>
      </c>
    </row>
    <row r="305" spans="1:10" x14ac:dyDescent="0.25">
      <c r="A305" t="s">
        <v>627</v>
      </c>
      <c r="B305" t="s">
        <v>3312</v>
      </c>
      <c r="C305" t="s">
        <v>3313</v>
      </c>
      <c r="E305" t="s">
        <v>3314</v>
      </c>
      <c r="F305" t="s">
        <v>3315</v>
      </c>
      <c r="G305" t="s">
        <v>6210</v>
      </c>
      <c r="H305">
        <v>40596</v>
      </c>
      <c r="I305" t="s">
        <v>1938</v>
      </c>
      <c r="J305" t="s">
        <v>627</v>
      </c>
    </row>
    <row r="306" spans="1:10" x14ac:dyDescent="0.25">
      <c r="A306" t="s">
        <v>3316</v>
      </c>
      <c r="B306" t="s">
        <v>3317</v>
      </c>
      <c r="C306" t="s">
        <v>3318</v>
      </c>
      <c r="E306" t="s">
        <v>3319</v>
      </c>
      <c r="F306" t="s">
        <v>3320</v>
      </c>
      <c r="G306" t="s">
        <v>6210</v>
      </c>
      <c r="H306">
        <v>60435</v>
      </c>
      <c r="I306" t="s">
        <v>1938</v>
      </c>
      <c r="J306" t="s">
        <v>3316</v>
      </c>
    </row>
    <row r="307" spans="1:10" x14ac:dyDescent="0.25">
      <c r="A307" t="s">
        <v>631</v>
      </c>
      <c r="B307" t="s">
        <v>3321</v>
      </c>
      <c r="C307" t="s">
        <v>3322</v>
      </c>
      <c r="D307" t="s">
        <v>3323</v>
      </c>
      <c r="E307" t="s">
        <v>3324</v>
      </c>
      <c r="F307" t="s">
        <v>3325</v>
      </c>
      <c r="G307" t="s">
        <v>2112</v>
      </c>
      <c r="H307" t="s">
        <v>3326</v>
      </c>
      <c r="I307" t="s">
        <v>1947</v>
      </c>
      <c r="J307" t="s">
        <v>631</v>
      </c>
    </row>
    <row r="308" spans="1:10" x14ac:dyDescent="0.25">
      <c r="A308" t="s">
        <v>633</v>
      </c>
      <c r="B308" t="s">
        <v>3327</v>
      </c>
      <c r="C308" t="s">
        <v>3328</v>
      </c>
      <c r="D308" t="s">
        <v>3329</v>
      </c>
      <c r="E308" t="s">
        <v>3330</v>
      </c>
      <c r="F308" t="s">
        <v>3331</v>
      </c>
      <c r="G308" t="s">
        <v>6210</v>
      </c>
      <c r="H308">
        <v>68505</v>
      </c>
      <c r="I308" t="s">
        <v>1947</v>
      </c>
      <c r="J308" t="s">
        <v>633</v>
      </c>
    </row>
    <row r="309" spans="1:10" x14ac:dyDescent="0.25">
      <c r="A309" t="s">
        <v>635</v>
      </c>
      <c r="B309" t="s">
        <v>3332</v>
      </c>
      <c r="C309" t="s">
        <v>3333</v>
      </c>
      <c r="D309" t="s">
        <v>3334</v>
      </c>
      <c r="E309" t="s">
        <v>3335</v>
      </c>
      <c r="F309" t="s">
        <v>3032</v>
      </c>
      <c r="G309" t="s">
        <v>6210</v>
      </c>
      <c r="H309">
        <v>45254</v>
      </c>
      <c r="I309" t="s">
        <v>1938</v>
      </c>
      <c r="J309" t="s">
        <v>635</v>
      </c>
    </row>
    <row r="310" spans="1:10" x14ac:dyDescent="0.25">
      <c r="A310" t="s">
        <v>637</v>
      </c>
      <c r="B310" t="s">
        <v>3336</v>
      </c>
      <c r="C310" t="s">
        <v>3337</v>
      </c>
      <c r="E310" t="s">
        <v>3338</v>
      </c>
      <c r="F310" t="s">
        <v>3129</v>
      </c>
      <c r="G310" t="s">
        <v>2112</v>
      </c>
      <c r="H310" t="s">
        <v>3130</v>
      </c>
      <c r="I310" t="s">
        <v>1947</v>
      </c>
      <c r="J310" t="s">
        <v>637</v>
      </c>
    </row>
    <row r="311" spans="1:10" x14ac:dyDescent="0.25">
      <c r="A311" t="s">
        <v>639</v>
      </c>
      <c r="B311" t="s">
        <v>3339</v>
      </c>
      <c r="C311" t="s">
        <v>3340</v>
      </c>
      <c r="D311" t="s">
        <v>3341</v>
      </c>
      <c r="E311" t="s">
        <v>3342</v>
      </c>
      <c r="F311" t="s">
        <v>3343</v>
      </c>
      <c r="G311" t="s">
        <v>6210</v>
      </c>
      <c r="H311">
        <v>6127</v>
      </c>
      <c r="I311" t="s">
        <v>1938</v>
      </c>
      <c r="J311" t="s">
        <v>639</v>
      </c>
    </row>
    <row r="312" spans="1:10" x14ac:dyDescent="0.25">
      <c r="A312" t="s">
        <v>641</v>
      </c>
      <c r="B312" t="s">
        <v>3344</v>
      </c>
      <c r="C312" t="s">
        <v>3345</v>
      </c>
      <c r="D312" t="s">
        <v>3346</v>
      </c>
      <c r="E312" t="s">
        <v>3347</v>
      </c>
      <c r="F312" t="s">
        <v>2305</v>
      </c>
      <c r="G312" t="s">
        <v>1945</v>
      </c>
      <c r="H312" t="s">
        <v>2306</v>
      </c>
      <c r="I312" t="s">
        <v>1947</v>
      </c>
      <c r="J312" t="s">
        <v>641</v>
      </c>
    </row>
    <row r="313" spans="1:10" x14ac:dyDescent="0.25">
      <c r="A313" t="s">
        <v>629</v>
      </c>
      <c r="B313" t="s">
        <v>3348</v>
      </c>
      <c r="C313" t="s">
        <v>3349</v>
      </c>
      <c r="D313" t="s">
        <v>3350</v>
      </c>
      <c r="E313" t="s">
        <v>3351</v>
      </c>
      <c r="F313" t="s">
        <v>2296</v>
      </c>
      <c r="G313" t="s">
        <v>6210</v>
      </c>
      <c r="H313">
        <v>28299</v>
      </c>
      <c r="I313" t="s">
        <v>1938</v>
      </c>
      <c r="J313" t="s">
        <v>629</v>
      </c>
    </row>
    <row r="314" spans="1:10" x14ac:dyDescent="0.25">
      <c r="A314" t="s">
        <v>644</v>
      </c>
      <c r="B314" t="s">
        <v>3352</v>
      </c>
      <c r="C314" t="s">
        <v>3353</v>
      </c>
      <c r="D314" t="s">
        <v>3354</v>
      </c>
      <c r="E314" t="s">
        <v>3355</v>
      </c>
      <c r="F314" t="s">
        <v>2695</v>
      </c>
      <c r="G314" t="s">
        <v>6210</v>
      </c>
      <c r="H314">
        <v>71307</v>
      </c>
      <c r="I314" t="s">
        <v>1938</v>
      </c>
      <c r="J314" t="s">
        <v>644</v>
      </c>
    </row>
    <row r="315" spans="1:10" x14ac:dyDescent="0.25">
      <c r="A315" t="s">
        <v>646</v>
      </c>
      <c r="B315" t="s">
        <v>3356</v>
      </c>
      <c r="C315" t="s">
        <v>3357</v>
      </c>
      <c r="D315" t="s">
        <v>3358</v>
      </c>
      <c r="E315" t="s">
        <v>3359</v>
      </c>
      <c r="F315" t="s">
        <v>3360</v>
      </c>
      <c r="G315" t="s">
        <v>2112</v>
      </c>
      <c r="H315" t="s">
        <v>3361</v>
      </c>
      <c r="I315" t="s">
        <v>1938</v>
      </c>
      <c r="J315" t="s">
        <v>646</v>
      </c>
    </row>
    <row r="316" spans="1:10" x14ac:dyDescent="0.25">
      <c r="A316" t="s">
        <v>648</v>
      </c>
      <c r="B316" t="s">
        <v>3362</v>
      </c>
      <c r="D316" t="s">
        <v>3363</v>
      </c>
      <c r="E316" t="s">
        <v>3364</v>
      </c>
      <c r="F316" t="s">
        <v>3365</v>
      </c>
      <c r="G316" t="s">
        <v>6210</v>
      </c>
      <c r="H316">
        <v>89115</v>
      </c>
      <c r="I316" t="s">
        <v>1947</v>
      </c>
      <c r="J316" t="s">
        <v>648</v>
      </c>
    </row>
    <row r="317" spans="1:10" x14ac:dyDescent="0.25">
      <c r="A317" t="s">
        <v>650</v>
      </c>
      <c r="B317" t="s">
        <v>3366</v>
      </c>
      <c r="C317" t="s">
        <v>3367</v>
      </c>
      <c r="D317" t="s">
        <v>3368</v>
      </c>
      <c r="E317" t="s">
        <v>3369</v>
      </c>
      <c r="F317" t="s">
        <v>2643</v>
      </c>
      <c r="G317" t="s">
        <v>6210</v>
      </c>
      <c r="H317">
        <v>50369</v>
      </c>
      <c r="I317" t="s">
        <v>1938</v>
      </c>
      <c r="J317" t="s">
        <v>650</v>
      </c>
    </row>
    <row r="318" spans="1:10" x14ac:dyDescent="0.25">
      <c r="A318" t="s">
        <v>652</v>
      </c>
      <c r="B318" t="s">
        <v>3370</v>
      </c>
      <c r="C318" t="s">
        <v>3371</v>
      </c>
      <c r="D318" t="s">
        <v>3372</v>
      </c>
      <c r="E318" t="s">
        <v>3373</v>
      </c>
      <c r="F318" t="s">
        <v>2596</v>
      </c>
      <c r="G318" t="s">
        <v>1945</v>
      </c>
      <c r="H318" t="s">
        <v>2541</v>
      </c>
      <c r="I318" t="s">
        <v>1947</v>
      </c>
      <c r="J318" t="s">
        <v>652</v>
      </c>
    </row>
    <row r="319" spans="1:10" x14ac:dyDescent="0.25">
      <c r="A319" t="s">
        <v>654</v>
      </c>
      <c r="B319" t="s">
        <v>3374</v>
      </c>
      <c r="C319" t="s">
        <v>3375</v>
      </c>
      <c r="D319" t="s">
        <v>3376</v>
      </c>
      <c r="E319" t="s">
        <v>3377</v>
      </c>
      <c r="F319" t="s">
        <v>3378</v>
      </c>
      <c r="G319" t="s">
        <v>6210</v>
      </c>
      <c r="H319">
        <v>44315</v>
      </c>
      <c r="I319" t="s">
        <v>1947</v>
      </c>
      <c r="J319" t="s">
        <v>654</v>
      </c>
    </row>
    <row r="320" spans="1:10" x14ac:dyDescent="0.25">
      <c r="A320" t="s">
        <v>656</v>
      </c>
      <c r="B320" t="s">
        <v>3379</v>
      </c>
      <c r="C320" t="s">
        <v>3380</v>
      </c>
      <c r="D320" t="s">
        <v>3381</v>
      </c>
      <c r="E320" t="s">
        <v>3382</v>
      </c>
      <c r="F320" t="s">
        <v>3383</v>
      </c>
      <c r="G320" t="s">
        <v>6210</v>
      </c>
      <c r="H320">
        <v>33405</v>
      </c>
      <c r="I320" t="s">
        <v>1938</v>
      </c>
      <c r="J320" t="s">
        <v>656</v>
      </c>
    </row>
    <row r="321" spans="1:10" x14ac:dyDescent="0.25">
      <c r="A321" t="s">
        <v>658</v>
      </c>
      <c r="B321" t="s">
        <v>3384</v>
      </c>
      <c r="C321" t="s">
        <v>3385</v>
      </c>
      <c r="E321" t="s">
        <v>3386</v>
      </c>
      <c r="F321" t="s">
        <v>2351</v>
      </c>
      <c r="G321" t="s">
        <v>6210</v>
      </c>
      <c r="H321">
        <v>93715</v>
      </c>
      <c r="I321" t="s">
        <v>1938</v>
      </c>
      <c r="J321" t="s">
        <v>658</v>
      </c>
    </row>
    <row r="322" spans="1:10" x14ac:dyDescent="0.25">
      <c r="A322" t="s">
        <v>3387</v>
      </c>
      <c r="B322" t="s">
        <v>3388</v>
      </c>
      <c r="C322" t="s">
        <v>3389</v>
      </c>
      <c r="D322" t="s">
        <v>3390</v>
      </c>
      <c r="E322" t="s">
        <v>3391</v>
      </c>
      <c r="F322" t="s">
        <v>3392</v>
      </c>
      <c r="G322" t="s">
        <v>6210</v>
      </c>
      <c r="H322">
        <v>52245</v>
      </c>
      <c r="I322" t="s">
        <v>1938</v>
      </c>
      <c r="J322" t="s">
        <v>3387</v>
      </c>
    </row>
    <row r="323" spans="1:10" x14ac:dyDescent="0.25">
      <c r="A323" t="s">
        <v>660</v>
      </c>
      <c r="B323" t="s">
        <v>3393</v>
      </c>
      <c r="C323" t="s">
        <v>3394</v>
      </c>
      <c r="D323" t="s">
        <v>3395</v>
      </c>
      <c r="E323" t="s">
        <v>3396</v>
      </c>
      <c r="F323" t="s">
        <v>3397</v>
      </c>
      <c r="G323" t="s">
        <v>1945</v>
      </c>
      <c r="H323" t="s">
        <v>2079</v>
      </c>
      <c r="I323" t="s">
        <v>1938</v>
      </c>
      <c r="J323" t="s">
        <v>660</v>
      </c>
    </row>
    <row r="324" spans="1:10" x14ac:dyDescent="0.25">
      <c r="A324" t="s">
        <v>662</v>
      </c>
      <c r="B324" t="s">
        <v>3398</v>
      </c>
      <c r="C324" t="s">
        <v>3399</v>
      </c>
      <c r="D324" t="s">
        <v>3400</v>
      </c>
      <c r="E324" t="s">
        <v>3401</v>
      </c>
      <c r="F324" t="s">
        <v>3402</v>
      </c>
      <c r="G324" t="s">
        <v>1945</v>
      </c>
      <c r="H324" t="s">
        <v>2079</v>
      </c>
      <c r="I324" t="s">
        <v>1947</v>
      </c>
      <c r="J324" t="s">
        <v>662</v>
      </c>
    </row>
    <row r="325" spans="1:10" x14ac:dyDescent="0.25">
      <c r="A325" t="s">
        <v>664</v>
      </c>
      <c r="B325" t="s">
        <v>3403</v>
      </c>
      <c r="C325" t="s">
        <v>3404</v>
      </c>
      <c r="D325" t="s">
        <v>3405</v>
      </c>
      <c r="E325" t="s">
        <v>3406</v>
      </c>
      <c r="F325" t="s">
        <v>3407</v>
      </c>
      <c r="G325" t="s">
        <v>6210</v>
      </c>
      <c r="H325">
        <v>37924</v>
      </c>
      <c r="I325" t="s">
        <v>1938</v>
      </c>
      <c r="J325" t="s">
        <v>664</v>
      </c>
    </row>
    <row r="326" spans="1:10" x14ac:dyDescent="0.25">
      <c r="A326" t="s">
        <v>666</v>
      </c>
      <c r="B326" t="s">
        <v>3408</v>
      </c>
      <c r="D326" t="s">
        <v>3409</v>
      </c>
      <c r="E326" t="s">
        <v>3410</v>
      </c>
      <c r="F326" t="s">
        <v>2983</v>
      </c>
      <c r="G326" t="s">
        <v>6210</v>
      </c>
      <c r="H326">
        <v>66276</v>
      </c>
      <c r="I326" t="s">
        <v>1947</v>
      </c>
      <c r="J326" t="s">
        <v>666</v>
      </c>
    </row>
    <row r="327" spans="1:10" x14ac:dyDescent="0.25">
      <c r="A327" t="s">
        <v>668</v>
      </c>
      <c r="B327" t="s">
        <v>3411</v>
      </c>
      <c r="C327" t="s">
        <v>3412</v>
      </c>
      <c r="D327" t="s">
        <v>3413</v>
      </c>
      <c r="E327" t="s">
        <v>3414</v>
      </c>
      <c r="F327" t="s">
        <v>3085</v>
      </c>
      <c r="G327" t="s">
        <v>6210</v>
      </c>
      <c r="H327">
        <v>94132</v>
      </c>
      <c r="I327" t="s">
        <v>1938</v>
      </c>
      <c r="J327" t="s">
        <v>668</v>
      </c>
    </row>
    <row r="328" spans="1:10" x14ac:dyDescent="0.25">
      <c r="A328" t="s">
        <v>670</v>
      </c>
      <c r="B328" t="s">
        <v>3415</v>
      </c>
      <c r="D328" t="s">
        <v>3416</v>
      </c>
      <c r="E328" t="s">
        <v>3417</v>
      </c>
      <c r="F328" t="s">
        <v>2168</v>
      </c>
      <c r="G328" t="s">
        <v>6210</v>
      </c>
      <c r="H328">
        <v>35244</v>
      </c>
      <c r="I328" t="s">
        <v>1947</v>
      </c>
      <c r="J328" t="s">
        <v>670</v>
      </c>
    </row>
    <row r="329" spans="1:10" x14ac:dyDescent="0.25">
      <c r="A329" t="s">
        <v>672</v>
      </c>
      <c r="B329" t="s">
        <v>3418</v>
      </c>
      <c r="C329" t="s">
        <v>3419</v>
      </c>
      <c r="D329" t="s">
        <v>3420</v>
      </c>
      <c r="E329" t="s">
        <v>3421</v>
      </c>
      <c r="F329" t="s">
        <v>2771</v>
      </c>
      <c r="G329" t="s">
        <v>6210</v>
      </c>
      <c r="H329">
        <v>11215</v>
      </c>
      <c r="I329" t="s">
        <v>1938</v>
      </c>
      <c r="J329" t="s">
        <v>672</v>
      </c>
    </row>
    <row r="330" spans="1:10" x14ac:dyDescent="0.25">
      <c r="A330" t="s">
        <v>674</v>
      </c>
      <c r="B330" t="s">
        <v>3422</v>
      </c>
      <c r="D330" t="s">
        <v>3423</v>
      </c>
      <c r="E330" t="s">
        <v>3424</v>
      </c>
      <c r="F330" t="s">
        <v>2444</v>
      </c>
      <c r="G330" t="s">
        <v>6210</v>
      </c>
      <c r="H330">
        <v>79934</v>
      </c>
      <c r="I330" t="s">
        <v>1938</v>
      </c>
      <c r="J330" t="s">
        <v>674</v>
      </c>
    </row>
    <row r="331" spans="1:10" x14ac:dyDescent="0.25">
      <c r="A331" t="s">
        <v>676</v>
      </c>
      <c r="B331" t="s">
        <v>3425</v>
      </c>
      <c r="C331" t="s">
        <v>3426</v>
      </c>
      <c r="E331" t="s">
        <v>3427</v>
      </c>
      <c r="F331" t="s">
        <v>2994</v>
      </c>
      <c r="G331" t="s">
        <v>6210</v>
      </c>
      <c r="H331">
        <v>94250</v>
      </c>
      <c r="I331" t="s">
        <v>1938</v>
      </c>
      <c r="J331" t="s">
        <v>676</v>
      </c>
    </row>
    <row r="332" spans="1:10" x14ac:dyDescent="0.25">
      <c r="A332" t="s">
        <v>3428</v>
      </c>
      <c r="B332" t="s">
        <v>3429</v>
      </c>
      <c r="C332" t="s">
        <v>3430</v>
      </c>
      <c r="D332" t="s">
        <v>3431</v>
      </c>
      <c r="E332" t="s">
        <v>3432</v>
      </c>
      <c r="F332" t="s">
        <v>2182</v>
      </c>
      <c r="G332" t="s">
        <v>6210</v>
      </c>
      <c r="H332">
        <v>20220</v>
      </c>
      <c r="I332" t="s">
        <v>1947</v>
      </c>
      <c r="J332" t="s">
        <v>3428</v>
      </c>
    </row>
    <row r="333" spans="1:10" x14ac:dyDescent="0.25">
      <c r="A333" t="s">
        <v>679</v>
      </c>
      <c r="B333" t="s">
        <v>3433</v>
      </c>
      <c r="C333" t="s">
        <v>3434</v>
      </c>
      <c r="D333" t="s">
        <v>3435</v>
      </c>
      <c r="E333" t="s">
        <v>3436</v>
      </c>
      <c r="F333" t="s">
        <v>3437</v>
      </c>
      <c r="G333" t="s">
        <v>6210</v>
      </c>
      <c r="H333">
        <v>33436</v>
      </c>
      <c r="I333" t="s">
        <v>1938</v>
      </c>
      <c r="J333" t="s">
        <v>679</v>
      </c>
    </row>
    <row r="334" spans="1:10" x14ac:dyDescent="0.25">
      <c r="A334" t="s">
        <v>681</v>
      </c>
      <c r="B334" t="s">
        <v>3438</v>
      </c>
      <c r="C334" t="s">
        <v>3439</v>
      </c>
      <c r="D334" t="s">
        <v>3440</v>
      </c>
      <c r="E334" t="s">
        <v>3441</v>
      </c>
      <c r="F334" t="s">
        <v>1982</v>
      </c>
      <c r="G334" t="s">
        <v>6210</v>
      </c>
      <c r="H334">
        <v>90094</v>
      </c>
      <c r="I334" t="s">
        <v>1938</v>
      </c>
      <c r="J334" t="s">
        <v>681</v>
      </c>
    </row>
    <row r="335" spans="1:10" x14ac:dyDescent="0.25">
      <c r="A335" t="s">
        <v>683</v>
      </c>
      <c r="B335" t="s">
        <v>3442</v>
      </c>
      <c r="C335" t="s">
        <v>3443</v>
      </c>
      <c r="D335" t="s">
        <v>3444</v>
      </c>
      <c r="E335" t="s">
        <v>3445</v>
      </c>
      <c r="F335" t="s">
        <v>3311</v>
      </c>
      <c r="G335" t="s">
        <v>6210</v>
      </c>
      <c r="H335">
        <v>21275</v>
      </c>
      <c r="I335" t="s">
        <v>1938</v>
      </c>
      <c r="J335" t="s">
        <v>683</v>
      </c>
    </row>
    <row r="336" spans="1:10" x14ac:dyDescent="0.25">
      <c r="A336" t="s">
        <v>685</v>
      </c>
      <c r="B336" t="s">
        <v>3446</v>
      </c>
      <c r="E336" t="s">
        <v>3447</v>
      </c>
      <c r="F336" t="s">
        <v>2933</v>
      </c>
      <c r="G336" t="s">
        <v>6210</v>
      </c>
      <c r="H336">
        <v>84125</v>
      </c>
      <c r="I336" t="s">
        <v>1947</v>
      </c>
      <c r="J336" t="s">
        <v>685</v>
      </c>
    </row>
    <row r="337" spans="1:10" x14ac:dyDescent="0.25">
      <c r="A337" t="s">
        <v>687</v>
      </c>
      <c r="B337" t="s">
        <v>3448</v>
      </c>
      <c r="C337" t="s">
        <v>3449</v>
      </c>
      <c r="D337" t="s">
        <v>3450</v>
      </c>
      <c r="E337" t="s">
        <v>3451</v>
      </c>
      <c r="F337" t="s">
        <v>2786</v>
      </c>
      <c r="G337" t="s">
        <v>6210</v>
      </c>
      <c r="H337">
        <v>75049</v>
      </c>
      <c r="I337" t="s">
        <v>1938</v>
      </c>
      <c r="J337" t="s">
        <v>687</v>
      </c>
    </row>
    <row r="338" spans="1:10" x14ac:dyDescent="0.25">
      <c r="A338" t="s">
        <v>689</v>
      </c>
      <c r="B338" t="s">
        <v>3452</v>
      </c>
      <c r="C338" t="s">
        <v>3453</v>
      </c>
      <c r="D338" t="s">
        <v>3454</v>
      </c>
      <c r="E338" t="s">
        <v>3455</v>
      </c>
      <c r="F338" t="s">
        <v>3456</v>
      </c>
      <c r="G338" t="s">
        <v>2112</v>
      </c>
      <c r="H338" t="s">
        <v>3457</v>
      </c>
      <c r="I338" t="s">
        <v>1947</v>
      </c>
      <c r="J338" t="s">
        <v>689</v>
      </c>
    </row>
    <row r="339" spans="1:10" x14ac:dyDescent="0.25">
      <c r="A339" t="s">
        <v>3458</v>
      </c>
      <c r="B339" t="s">
        <v>3459</v>
      </c>
      <c r="D339" t="s">
        <v>3460</v>
      </c>
      <c r="E339" t="s">
        <v>3461</v>
      </c>
      <c r="F339" t="s">
        <v>2283</v>
      </c>
      <c r="G339" t="s">
        <v>6210</v>
      </c>
      <c r="H339">
        <v>43240</v>
      </c>
      <c r="I339" t="s">
        <v>1947</v>
      </c>
      <c r="J339" t="s">
        <v>3458</v>
      </c>
    </row>
    <row r="340" spans="1:10" x14ac:dyDescent="0.25">
      <c r="A340" t="s">
        <v>692</v>
      </c>
      <c r="B340" t="s">
        <v>3462</v>
      </c>
      <c r="C340" t="s">
        <v>3463</v>
      </c>
      <c r="D340" t="s">
        <v>3464</v>
      </c>
      <c r="E340" t="s">
        <v>3465</v>
      </c>
      <c r="F340" t="s">
        <v>2033</v>
      </c>
      <c r="G340" t="s">
        <v>6210</v>
      </c>
      <c r="H340">
        <v>10184</v>
      </c>
      <c r="I340" t="s">
        <v>1947</v>
      </c>
      <c r="J340" t="s">
        <v>692</v>
      </c>
    </row>
    <row r="341" spans="1:10" x14ac:dyDescent="0.25">
      <c r="A341" t="s">
        <v>694</v>
      </c>
      <c r="B341" t="s">
        <v>3466</v>
      </c>
      <c r="C341" t="s">
        <v>3467</v>
      </c>
      <c r="D341" t="s">
        <v>3468</v>
      </c>
      <c r="E341" t="s">
        <v>3469</v>
      </c>
      <c r="F341" t="s">
        <v>2154</v>
      </c>
      <c r="G341" t="s">
        <v>6210</v>
      </c>
      <c r="H341">
        <v>2216</v>
      </c>
      <c r="I341" t="s">
        <v>1938</v>
      </c>
      <c r="J341" t="s">
        <v>694</v>
      </c>
    </row>
    <row r="342" spans="1:10" x14ac:dyDescent="0.25">
      <c r="A342" t="s">
        <v>696</v>
      </c>
      <c r="B342" t="s">
        <v>3470</v>
      </c>
      <c r="C342" t="s">
        <v>3471</v>
      </c>
      <c r="D342" t="s">
        <v>3472</v>
      </c>
      <c r="E342" t="s">
        <v>3473</v>
      </c>
      <c r="F342" t="s">
        <v>3085</v>
      </c>
      <c r="G342" t="s">
        <v>6210</v>
      </c>
      <c r="H342">
        <v>94132</v>
      </c>
      <c r="I342" t="s">
        <v>1938</v>
      </c>
      <c r="J342" t="s">
        <v>696</v>
      </c>
    </row>
    <row r="343" spans="1:10" x14ac:dyDescent="0.25">
      <c r="A343" t="s">
        <v>698</v>
      </c>
      <c r="B343" t="s">
        <v>3474</v>
      </c>
      <c r="C343" t="s">
        <v>3475</v>
      </c>
      <c r="D343" t="s">
        <v>3476</v>
      </c>
      <c r="E343" t="s">
        <v>3477</v>
      </c>
      <c r="F343" t="s">
        <v>3478</v>
      </c>
      <c r="G343" t="s">
        <v>6210</v>
      </c>
      <c r="H343">
        <v>46295</v>
      </c>
      <c r="I343" t="s">
        <v>1947</v>
      </c>
      <c r="J343" t="s">
        <v>698</v>
      </c>
    </row>
    <row r="344" spans="1:10" x14ac:dyDescent="0.25">
      <c r="A344" t="s">
        <v>3479</v>
      </c>
      <c r="B344" t="s">
        <v>3480</v>
      </c>
      <c r="C344" t="s">
        <v>3481</v>
      </c>
      <c r="E344" t="s">
        <v>3482</v>
      </c>
      <c r="F344" t="s">
        <v>3483</v>
      </c>
      <c r="G344" t="s">
        <v>6210</v>
      </c>
      <c r="H344">
        <v>32209</v>
      </c>
      <c r="I344" t="s">
        <v>1947</v>
      </c>
      <c r="J344" t="s">
        <v>3479</v>
      </c>
    </row>
    <row r="345" spans="1:10" x14ac:dyDescent="0.25">
      <c r="A345" t="s">
        <v>700</v>
      </c>
      <c r="B345" t="s">
        <v>3484</v>
      </c>
      <c r="C345" t="s">
        <v>3485</v>
      </c>
      <c r="E345" t="s">
        <v>3486</v>
      </c>
      <c r="F345" t="s">
        <v>3487</v>
      </c>
      <c r="G345" t="s">
        <v>6210</v>
      </c>
      <c r="H345">
        <v>98148</v>
      </c>
      <c r="I345" t="s">
        <v>1947</v>
      </c>
      <c r="J345" t="s">
        <v>700</v>
      </c>
    </row>
    <row r="346" spans="1:10" x14ac:dyDescent="0.25">
      <c r="A346" t="s">
        <v>702</v>
      </c>
      <c r="B346" t="s">
        <v>3488</v>
      </c>
      <c r="D346" t="s">
        <v>3489</v>
      </c>
      <c r="E346" t="s">
        <v>3490</v>
      </c>
      <c r="F346" t="s">
        <v>3491</v>
      </c>
      <c r="G346" t="s">
        <v>1945</v>
      </c>
      <c r="H346" t="s">
        <v>3492</v>
      </c>
      <c r="I346" t="s">
        <v>1938</v>
      </c>
      <c r="J346" t="s">
        <v>702</v>
      </c>
    </row>
    <row r="347" spans="1:10" x14ac:dyDescent="0.25">
      <c r="A347" t="s">
        <v>704</v>
      </c>
      <c r="B347" t="s">
        <v>3493</v>
      </c>
      <c r="C347" t="s">
        <v>3494</v>
      </c>
      <c r="D347" t="s">
        <v>3495</v>
      </c>
      <c r="E347" t="s">
        <v>3496</v>
      </c>
      <c r="F347" t="s">
        <v>2739</v>
      </c>
      <c r="G347" t="s">
        <v>6210</v>
      </c>
      <c r="H347">
        <v>36109</v>
      </c>
      <c r="I347" t="s">
        <v>1947</v>
      </c>
      <c r="J347" t="s">
        <v>704</v>
      </c>
    </row>
    <row r="348" spans="1:10" x14ac:dyDescent="0.25">
      <c r="A348" t="s">
        <v>706</v>
      </c>
      <c r="B348" t="s">
        <v>3497</v>
      </c>
      <c r="C348" t="s">
        <v>3498</v>
      </c>
      <c r="D348" t="s">
        <v>3499</v>
      </c>
      <c r="E348" t="s">
        <v>3500</v>
      </c>
      <c r="F348" t="s">
        <v>2321</v>
      </c>
      <c r="G348" t="s">
        <v>6210</v>
      </c>
      <c r="H348">
        <v>75372</v>
      </c>
      <c r="I348" t="s">
        <v>1938</v>
      </c>
      <c r="J348" t="s">
        <v>706</v>
      </c>
    </row>
    <row r="349" spans="1:10" x14ac:dyDescent="0.25">
      <c r="A349" t="s">
        <v>708</v>
      </c>
      <c r="B349" t="s">
        <v>3501</v>
      </c>
      <c r="C349" t="s">
        <v>3502</v>
      </c>
      <c r="D349" t="s">
        <v>3503</v>
      </c>
      <c r="E349" t="s">
        <v>3504</v>
      </c>
      <c r="F349" t="s">
        <v>3505</v>
      </c>
      <c r="G349" t="s">
        <v>6210</v>
      </c>
      <c r="H349">
        <v>66622</v>
      </c>
      <c r="I349" t="s">
        <v>1947</v>
      </c>
      <c r="J349" t="s">
        <v>708</v>
      </c>
    </row>
    <row r="350" spans="1:10" x14ac:dyDescent="0.25">
      <c r="A350" t="s">
        <v>710</v>
      </c>
      <c r="B350" t="s">
        <v>3506</v>
      </c>
      <c r="C350" t="s">
        <v>3507</v>
      </c>
      <c r="D350" t="s">
        <v>3508</v>
      </c>
      <c r="E350" t="s">
        <v>3509</v>
      </c>
      <c r="F350" t="s">
        <v>3510</v>
      </c>
      <c r="G350" t="s">
        <v>6210</v>
      </c>
      <c r="H350">
        <v>75799</v>
      </c>
      <c r="I350" t="s">
        <v>1947</v>
      </c>
      <c r="J350" t="s">
        <v>710</v>
      </c>
    </row>
    <row r="351" spans="1:10" x14ac:dyDescent="0.25">
      <c r="A351" t="s">
        <v>712</v>
      </c>
      <c r="B351" t="s">
        <v>3511</v>
      </c>
      <c r="C351" t="s">
        <v>3512</v>
      </c>
      <c r="D351" t="s">
        <v>3513</v>
      </c>
      <c r="E351" t="s">
        <v>3514</v>
      </c>
      <c r="F351" t="s">
        <v>1982</v>
      </c>
      <c r="G351" t="s">
        <v>6210</v>
      </c>
      <c r="H351">
        <v>90065</v>
      </c>
      <c r="I351" t="s">
        <v>1947</v>
      </c>
      <c r="J351" t="s">
        <v>712</v>
      </c>
    </row>
    <row r="352" spans="1:10" x14ac:dyDescent="0.25">
      <c r="A352" t="s">
        <v>714</v>
      </c>
      <c r="B352" t="s">
        <v>3515</v>
      </c>
      <c r="C352" t="s">
        <v>3516</v>
      </c>
      <c r="D352" t="s">
        <v>3517</v>
      </c>
      <c r="E352" t="s">
        <v>3518</v>
      </c>
      <c r="F352" t="s">
        <v>3519</v>
      </c>
      <c r="G352" t="s">
        <v>6210</v>
      </c>
      <c r="H352">
        <v>71137</v>
      </c>
      <c r="I352" t="s">
        <v>1947</v>
      </c>
      <c r="J352" t="s">
        <v>714</v>
      </c>
    </row>
    <row r="353" spans="1:10" x14ac:dyDescent="0.25">
      <c r="A353" t="s">
        <v>716</v>
      </c>
      <c r="B353" t="s">
        <v>3520</v>
      </c>
      <c r="C353" t="s">
        <v>3521</v>
      </c>
      <c r="D353" t="s">
        <v>3522</v>
      </c>
      <c r="E353" t="s">
        <v>3523</v>
      </c>
      <c r="F353" t="s">
        <v>3524</v>
      </c>
      <c r="G353" t="s">
        <v>6210</v>
      </c>
      <c r="H353">
        <v>83722</v>
      </c>
      <c r="I353" t="s">
        <v>1947</v>
      </c>
      <c r="J353" t="s">
        <v>716</v>
      </c>
    </row>
    <row r="354" spans="1:10" x14ac:dyDescent="0.25">
      <c r="A354" t="s">
        <v>3525</v>
      </c>
      <c r="B354" t="s">
        <v>3526</v>
      </c>
      <c r="C354" t="s">
        <v>3527</v>
      </c>
      <c r="D354" t="s">
        <v>3528</v>
      </c>
      <c r="E354" t="s">
        <v>3529</v>
      </c>
      <c r="F354" t="s">
        <v>2173</v>
      </c>
      <c r="G354" t="s">
        <v>6210</v>
      </c>
      <c r="H354">
        <v>92415</v>
      </c>
      <c r="I354" t="s">
        <v>1947</v>
      </c>
      <c r="J354" t="s">
        <v>3525</v>
      </c>
    </row>
    <row r="355" spans="1:10" x14ac:dyDescent="0.25">
      <c r="A355" t="s">
        <v>719</v>
      </c>
      <c r="B355" t="s">
        <v>3530</v>
      </c>
      <c r="D355" t="s">
        <v>3531</v>
      </c>
      <c r="E355" t="s">
        <v>3532</v>
      </c>
      <c r="F355" t="s">
        <v>2739</v>
      </c>
      <c r="G355" t="s">
        <v>6210</v>
      </c>
      <c r="H355">
        <v>36177</v>
      </c>
      <c r="I355" t="s">
        <v>1938</v>
      </c>
      <c r="J355" t="s">
        <v>719</v>
      </c>
    </row>
    <row r="356" spans="1:10" x14ac:dyDescent="0.25">
      <c r="A356" t="s">
        <v>721</v>
      </c>
      <c r="B356" t="s">
        <v>3533</v>
      </c>
      <c r="C356" t="s">
        <v>3534</v>
      </c>
      <c r="E356" t="s">
        <v>3535</v>
      </c>
      <c r="F356" t="s">
        <v>3536</v>
      </c>
      <c r="G356" t="s">
        <v>6210</v>
      </c>
      <c r="H356">
        <v>34981</v>
      </c>
      <c r="I356" t="s">
        <v>1947</v>
      </c>
      <c r="J356" t="s">
        <v>721</v>
      </c>
    </row>
    <row r="357" spans="1:10" x14ac:dyDescent="0.25">
      <c r="A357" t="s">
        <v>723</v>
      </c>
      <c r="B357" t="s">
        <v>3537</v>
      </c>
      <c r="C357" t="s">
        <v>3538</v>
      </c>
      <c r="D357" t="s">
        <v>3539</v>
      </c>
      <c r="E357" t="s">
        <v>3540</v>
      </c>
      <c r="F357" t="s">
        <v>2690</v>
      </c>
      <c r="G357" t="s">
        <v>6210</v>
      </c>
      <c r="H357">
        <v>27415</v>
      </c>
      <c r="I357" t="s">
        <v>1938</v>
      </c>
      <c r="J357" t="s">
        <v>723</v>
      </c>
    </row>
    <row r="358" spans="1:10" x14ac:dyDescent="0.25">
      <c r="A358" t="s">
        <v>725</v>
      </c>
      <c r="B358" t="s">
        <v>3541</v>
      </c>
      <c r="C358" t="s">
        <v>3542</v>
      </c>
      <c r="D358" t="s">
        <v>3543</v>
      </c>
      <c r="E358" t="s">
        <v>3544</v>
      </c>
      <c r="F358" t="s">
        <v>2994</v>
      </c>
      <c r="G358" t="s">
        <v>6210</v>
      </c>
      <c r="H358">
        <v>94237</v>
      </c>
      <c r="I358" t="s">
        <v>1938</v>
      </c>
      <c r="J358" t="s">
        <v>725</v>
      </c>
    </row>
    <row r="359" spans="1:10" x14ac:dyDescent="0.25">
      <c r="A359" t="s">
        <v>727</v>
      </c>
      <c r="B359" t="s">
        <v>3545</v>
      </c>
      <c r="D359" t="s">
        <v>3546</v>
      </c>
      <c r="E359" t="s">
        <v>3547</v>
      </c>
      <c r="F359" t="s">
        <v>3548</v>
      </c>
      <c r="G359" t="s">
        <v>6210</v>
      </c>
      <c r="H359">
        <v>78682</v>
      </c>
      <c r="I359" t="s">
        <v>1947</v>
      </c>
      <c r="J359" t="s">
        <v>727</v>
      </c>
    </row>
    <row r="360" spans="1:10" x14ac:dyDescent="0.25">
      <c r="A360" t="s">
        <v>729</v>
      </c>
      <c r="B360" t="s">
        <v>3549</v>
      </c>
      <c r="C360" t="s">
        <v>3550</v>
      </c>
      <c r="D360" t="s">
        <v>3551</v>
      </c>
      <c r="E360" t="s">
        <v>3552</v>
      </c>
      <c r="F360" t="s">
        <v>3553</v>
      </c>
      <c r="G360" t="s">
        <v>6210</v>
      </c>
      <c r="H360">
        <v>22096</v>
      </c>
      <c r="I360" t="s">
        <v>1947</v>
      </c>
      <c r="J360" t="s">
        <v>729</v>
      </c>
    </row>
    <row r="361" spans="1:10" x14ac:dyDescent="0.25">
      <c r="A361" t="s">
        <v>731</v>
      </c>
      <c r="B361" t="s">
        <v>3554</v>
      </c>
      <c r="C361" t="s">
        <v>3555</v>
      </c>
      <c r="D361" t="s">
        <v>3556</v>
      </c>
      <c r="E361" t="s">
        <v>3557</v>
      </c>
      <c r="F361" t="s">
        <v>3558</v>
      </c>
      <c r="G361" t="s">
        <v>2112</v>
      </c>
      <c r="H361" t="s">
        <v>3559</v>
      </c>
      <c r="I361" t="s">
        <v>1947</v>
      </c>
      <c r="J361" t="s">
        <v>731</v>
      </c>
    </row>
    <row r="362" spans="1:10" x14ac:dyDescent="0.25">
      <c r="A362" t="s">
        <v>733</v>
      </c>
      <c r="B362" t="s">
        <v>3560</v>
      </c>
      <c r="C362" t="s">
        <v>3561</v>
      </c>
      <c r="D362" t="s">
        <v>3562</v>
      </c>
      <c r="E362" t="s">
        <v>3563</v>
      </c>
      <c r="F362" t="s">
        <v>3212</v>
      </c>
      <c r="G362" t="s">
        <v>6210</v>
      </c>
      <c r="H362">
        <v>29220</v>
      </c>
      <c r="I362" t="s">
        <v>1947</v>
      </c>
      <c r="J362" t="s">
        <v>733</v>
      </c>
    </row>
    <row r="363" spans="1:10" x14ac:dyDescent="0.25">
      <c r="A363" t="s">
        <v>3564</v>
      </c>
      <c r="B363" t="s">
        <v>3565</v>
      </c>
      <c r="C363" t="s">
        <v>3566</v>
      </c>
      <c r="D363" t="s">
        <v>3567</v>
      </c>
      <c r="E363" t="s">
        <v>3568</v>
      </c>
      <c r="F363" t="s">
        <v>2502</v>
      </c>
      <c r="G363" t="s">
        <v>6210</v>
      </c>
      <c r="H363">
        <v>37215</v>
      </c>
      <c r="I363" t="s">
        <v>1938</v>
      </c>
      <c r="J363" t="s">
        <v>3564</v>
      </c>
    </row>
    <row r="364" spans="1:10" x14ac:dyDescent="0.25">
      <c r="A364" t="s">
        <v>735</v>
      </c>
      <c r="B364" t="s">
        <v>3569</v>
      </c>
      <c r="C364" t="s">
        <v>3570</v>
      </c>
      <c r="D364" t="s">
        <v>3571</v>
      </c>
      <c r="E364" t="s">
        <v>3572</v>
      </c>
      <c r="F364" t="s">
        <v>3094</v>
      </c>
      <c r="G364" t="s">
        <v>6210</v>
      </c>
      <c r="H364">
        <v>85025</v>
      </c>
      <c r="I364" t="s">
        <v>1938</v>
      </c>
      <c r="J364" t="s">
        <v>735</v>
      </c>
    </row>
    <row r="365" spans="1:10" x14ac:dyDescent="0.25">
      <c r="A365" t="s">
        <v>737</v>
      </c>
      <c r="B365" t="s">
        <v>3573</v>
      </c>
      <c r="C365" t="s">
        <v>3574</v>
      </c>
      <c r="E365" t="s">
        <v>3575</v>
      </c>
      <c r="F365" t="s">
        <v>3576</v>
      </c>
      <c r="G365" t="s">
        <v>6210</v>
      </c>
      <c r="H365">
        <v>33233</v>
      </c>
      <c r="I365" t="s">
        <v>1947</v>
      </c>
      <c r="J365" t="s">
        <v>737</v>
      </c>
    </row>
    <row r="366" spans="1:10" x14ac:dyDescent="0.25">
      <c r="A366" t="s">
        <v>739</v>
      </c>
      <c r="B366" t="s">
        <v>3577</v>
      </c>
      <c r="C366" t="s">
        <v>3578</v>
      </c>
      <c r="D366" t="s">
        <v>3579</v>
      </c>
      <c r="E366" t="s">
        <v>3580</v>
      </c>
      <c r="F366" t="s">
        <v>2351</v>
      </c>
      <c r="G366" t="s">
        <v>6210</v>
      </c>
      <c r="H366">
        <v>93762</v>
      </c>
      <c r="I366" t="s">
        <v>1938</v>
      </c>
      <c r="J366" t="s">
        <v>739</v>
      </c>
    </row>
    <row r="367" spans="1:10" x14ac:dyDescent="0.25">
      <c r="A367" t="s">
        <v>741</v>
      </c>
      <c r="B367" t="s">
        <v>3581</v>
      </c>
      <c r="C367" t="s">
        <v>3582</v>
      </c>
      <c r="E367" t="s">
        <v>3583</v>
      </c>
      <c r="F367" t="s">
        <v>3584</v>
      </c>
      <c r="G367" t="s">
        <v>6210</v>
      </c>
      <c r="H367">
        <v>92825</v>
      </c>
      <c r="I367" t="s">
        <v>1947</v>
      </c>
      <c r="J367" t="s">
        <v>741</v>
      </c>
    </row>
    <row r="368" spans="1:10" x14ac:dyDescent="0.25">
      <c r="A368" t="s">
        <v>743</v>
      </c>
      <c r="B368" t="s">
        <v>3585</v>
      </c>
      <c r="D368" t="s">
        <v>3586</v>
      </c>
      <c r="E368" t="s">
        <v>3587</v>
      </c>
      <c r="F368" t="s">
        <v>2526</v>
      </c>
      <c r="G368" t="s">
        <v>6210</v>
      </c>
      <c r="H368">
        <v>23605</v>
      </c>
      <c r="I368" t="s">
        <v>1947</v>
      </c>
      <c r="J368" t="s">
        <v>743</v>
      </c>
    </row>
    <row r="369" spans="1:10" x14ac:dyDescent="0.25">
      <c r="A369" t="s">
        <v>745</v>
      </c>
      <c r="B369" t="s">
        <v>3588</v>
      </c>
      <c r="E369" t="s">
        <v>3589</v>
      </c>
      <c r="F369" t="s">
        <v>2881</v>
      </c>
      <c r="G369" t="s">
        <v>6210</v>
      </c>
      <c r="H369">
        <v>29305</v>
      </c>
      <c r="I369" t="s">
        <v>1938</v>
      </c>
      <c r="J369" t="s">
        <v>745</v>
      </c>
    </row>
    <row r="370" spans="1:10" x14ac:dyDescent="0.25">
      <c r="A370" t="s">
        <v>747</v>
      </c>
      <c r="B370" t="s">
        <v>3590</v>
      </c>
      <c r="C370" t="s">
        <v>3591</v>
      </c>
      <c r="D370" t="s">
        <v>3592</v>
      </c>
      <c r="E370" t="s">
        <v>3593</v>
      </c>
      <c r="F370" t="s">
        <v>2885</v>
      </c>
      <c r="G370" t="s">
        <v>6210</v>
      </c>
      <c r="H370">
        <v>10305</v>
      </c>
      <c r="I370" t="s">
        <v>1947</v>
      </c>
      <c r="J370" t="s">
        <v>747</v>
      </c>
    </row>
    <row r="371" spans="1:10" x14ac:dyDescent="0.25">
      <c r="A371" t="s">
        <v>749</v>
      </c>
      <c r="B371" t="s">
        <v>3594</v>
      </c>
      <c r="E371" t="s">
        <v>3595</v>
      </c>
      <c r="F371" t="s">
        <v>3365</v>
      </c>
      <c r="G371" t="s">
        <v>6210</v>
      </c>
      <c r="H371">
        <v>89115</v>
      </c>
      <c r="I371" t="s">
        <v>1938</v>
      </c>
      <c r="J371" t="s">
        <v>749</v>
      </c>
    </row>
    <row r="372" spans="1:10" x14ac:dyDescent="0.25">
      <c r="A372" t="s">
        <v>751</v>
      </c>
      <c r="B372" t="s">
        <v>3596</v>
      </c>
      <c r="C372" t="s">
        <v>3597</v>
      </c>
      <c r="D372" t="s">
        <v>3598</v>
      </c>
      <c r="E372" t="s">
        <v>3599</v>
      </c>
      <c r="F372" t="s">
        <v>2933</v>
      </c>
      <c r="G372" t="s">
        <v>6210</v>
      </c>
      <c r="H372">
        <v>84105</v>
      </c>
      <c r="I372" t="s">
        <v>1938</v>
      </c>
      <c r="J372" t="s">
        <v>751</v>
      </c>
    </row>
    <row r="373" spans="1:10" x14ac:dyDescent="0.25">
      <c r="A373" t="s">
        <v>753</v>
      </c>
      <c r="B373" t="s">
        <v>3600</v>
      </c>
      <c r="C373" t="s">
        <v>3601</v>
      </c>
      <c r="D373" t="s">
        <v>3602</v>
      </c>
      <c r="E373" t="s">
        <v>3603</v>
      </c>
      <c r="F373" t="s">
        <v>3487</v>
      </c>
      <c r="G373" t="s">
        <v>6210</v>
      </c>
      <c r="H373">
        <v>98109</v>
      </c>
      <c r="I373" t="s">
        <v>1938</v>
      </c>
      <c r="J373" t="s">
        <v>753</v>
      </c>
    </row>
    <row r="374" spans="1:10" x14ac:dyDescent="0.25">
      <c r="A374" t="s">
        <v>755</v>
      </c>
      <c r="B374" t="s">
        <v>3604</v>
      </c>
      <c r="C374" t="s">
        <v>3605</v>
      </c>
      <c r="D374" t="s">
        <v>3606</v>
      </c>
      <c r="E374" t="s">
        <v>3607</v>
      </c>
      <c r="F374" t="s">
        <v>3608</v>
      </c>
      <c r="G374" t="s">
        <v>6210</v>
      </c>
      <c r="H374">
        <v>79764</v>
      </c>
      <c r="I374" t="s">
        <v>1947</v>
      </c>
      <c r="J374" t="s">
        <v>755</v>
      </c>
    </row>
    <row r="375" spans="1:10" x14ac:dyDescent="0.25">
      <c r="A375" t="s">
        <v>757</v>
      </c>
      <c r="B375" t="s">
        <v>3609</v>
      </c>
      <c r="D375" t="s">
        <v>3610</v>
      </c>
      <c r="E375" t="s">
        <v>3611</v>
      </c>
      <c r="F375" t="s">
        <v>3612</v>
      </c>
      <c r="G375" t="s">
        <v>1945</v>
      </c>
      <c r="H375" t="s">
        <v>3613</v>
      </c>
      <c r="I375" t="s">
        <v>1938</v>
      </c>
      <c r="J375" t="s">
        <v>757</v>
      </c>
    </row>
    <row r="376" spans="1:10" x14ac:dyDescent="0.25">
      <c r="A376" t="s">
        <v>759</v>
      </c>
      <c r="B376" t="s">
        <v>3614</v>
      </c>
      <c r="C376" t="s">
        <v>3615</v>
      </c>
      <c r="D376" t="s">
        <v>3616</v>
      </c>
      <c r="E376" t="s">
        <v>3617</v>
      </c>
      <c r="F376" t="s">
        <v>3618</v>
      </c>
      <c r="G376" t="s">
        <v>6210</v>
      </c>
      <c r="H376">
        <v>75037</v>
      </c>
      <c r="I376" t="s">
        <v>1938</v>
      </c>
      <c r="J376" t="s">
        <v>759</v>
      </c>
    </row>
    <row r="377" spans="1:10" x14ac:dyDescent="0.25">
      <c r="A377" t="s">
        <v>761</v>
      </c>
      <c r="B377" t="s">
        <v>3619</v>
      </c>
      <c r="C377" t="s">
        <v>3620</v>
      </c>
      <c r="D377" t="s">
        <v>3621</v>
      </c>
      <c r="E377" t="s">
        <v>3622</v>
      </c>
      <c r="F377" t="s">
        <v>1972</v>
      </c>
      <c r="G377" t="s">
        <v>6210</v>
      </c>
      <c r="H377">
        <v>45426</v>
      </c>
      <c r="I377" t="s">
        <v>1938</v>
      </c>
      <c r="J377" t="s">
        <v>761</v>
      </c>
    </row>
    <row r="378" spans="1:10" x14ac:dyDescent="0.25">
      <c r="A378" t="s">
        <v>763</v>
      </c>
      <c r="B378" t="s">
        <v>3623</v>
      </c>
      <c r="C378" t="s">
        <v>3624</v>
      </c>
      <c r="D378" t="s">
        <v>3625</v>
      </c>
      <c r="E378" t="s">
        <v>3626</v>
      </c>
      <c r="F378" t="s">
        <v>2044</v>
      </c>
      <c r="G378" t="s">
        <v>6210</v>
      </c>
      <c r="H378">
        <v>49560</v>
      </c>
      <c r="I378" t="s">
        <v>1938</v>
      </c>
      <c r="J378" t="s">
        <v>763</v>
      </c>
    </row>
    <row r="379" spans="1:10" x14ac:dyDescent="0.25">
      <c r="A379" t="s">
        <v>765</v>
      </c>
      <c r="B379" t="s">
        <v>3627</v>
      </c>
      <c r="C379" t="s">
        <v>3628</v>
      </c>
      <c r="D379" t="s">
        <v>3629</v>
      </c>
      <c r="E379" t="s">
        <v>3630</v>
      </c>
      <c r="F379" t="s">
        <v>2928</v>
      </c>
      <c r="G379" t="s">
        <v>1945</v>
      </c>
      <c r="H379" t="s">
        <v>2079</v>
      </c>
      <c r="I379" t="s">
        <v>1947</v>
      </c>
      <c r="J379" t="s">
        <v>765</v>
      </c>
    </row>
    <row r="380" spans="1:10" x14ac:dyDescent="0.25">
      <c r="A380" t="s">
        <v>767</v>
      </c>
      <c r="B380" t="s">
        <v>3631</v>
      </c>
      <c r="C380" t="s">
        <v>3632</v>
      </c>
      <c r="D380" t="s">
        <v>3633</v>
      </c>
      <c r="E380" t="s">
        <v>3634</v>
      </c>
      <c r="F380" t="s">
        <v>3635</v>
      </c>
      <c r="G380" t="s">
        <v>1945</v>
      </c>
      <c r="H380" t="s">
        <v>2421</v>
      </c>
      <c r="I380" t="s">
        <v>1938</v>
      </c>
      <c r="J380" t="s">
        <v>767</v>
      </c>
    </row>
    <row r="381" spans="1:10" x14ac:dyDescent="0.25">
      <c r="A381" t="s">
        <v>769</v>
      </c>
      <c r="B381" t="s">
        <v>3636</v>
      </c>
      <c r="C381" t="s">
        <v>3637</v>
      </c>
      <c r="E381" t="s">
        <v>3638</v>
      </c>
      <c r="F381" t="s">
        <v>3639</v>
      </c>
      <c r="G381" t="s">
        <v>2112</v>
      </c>
      <c r="H381" t="s">
        <v>3640</v>
      </c>
      <c r="I381" t="s">
        <v>1938</v>
      </c>
      <c r="J381" t="s">
        <v>769</v>
      </c>
    </row>
    <row r="382" spans="1:10" x14ac:dyDescent="0.25">
      <c r="A382" t="s">
        <v>3641</v>
      </c>
      <c r="B382" t="s">
        <v>3642</v>
      </c>
      <c r="C382" t="s">
        <v>3643</v>
      </c>
      <c r="D382" t="s">
        <v>3644</v>
      </c>
      <c r="E382" t="s">
        <v>3645</v>
      </c>
      <c r="F382" t="s">
        <v>1958</v>
      </c>
      <c r="G382" t="s">
        <v>6210</v>
      </c>
      <c r="H382">
        <v>62756</v>
      </c>
      <c r="I382" t="s">
        <v>1947</v>
      </c>
      <c r="J382" t="s">
        <v>3641</v>
      </c>
    </row>
    <row r="383" spans="1:10" x14ac:dyDescent="0.25">
      <c r="A383" t="s">
        <v>772</v>
      </c>
      <c r="B383" t="s">
        <v>3646</v>
      </c>
      <c r="C383" t="s">
        <v>3647</v>
      </c>
      <c r="D383" t="s">
        <v>3648</v>
      </c>
      <c r="E383" t="s">
        <v>3649</v>
      </c>
      <c r="F383" t="s">
        <v>1982</v>
      </c>
      <c r="G383" t="s">
        <v>6210</v>
      </c>
      <c r="H383">
        <v>90010</v>
      </c>
      <c r="I383" t="s">
        <v>1938</v>
      </c>
      <c r="J383" t="s">
        <v>772</v>
      </c>
    </row>
    <row r="384" spans="1:10" x14ac:dyDescent="0.25">
      <c r="A384" t="s">
        <v>774</v>
      </c>
      <c r="B384" t="s">
        <v>3650</v>
      </c>
      <c r="C384" t="s">
        <v>3651</v>
      </c>
      <c r="D384" t="s">
        <v>3652</v>
      </c>
      <c r="E384" t="s">
        <v>3653</v>
      </c>
      <c r="F384" t="s">
        <v>3311</v>
      </c>
      <c r="G384" t="s">
        <v>6210</v>
      </c>
      <c r="H384">
        <v>21239</v>
      </c>
      <c r="I384" t="s">
        <v>1947</v>
      </c>
      <c r="J384" t="s">
        <v>774</v>
      </c>
    </row>
    <row r="385" spans="1:10" x14ac:dyDescent="0.25">
      <c r="A385" t="s">
        <v>776</v>
      </c>
      <c r="B385" t="s">
        <v>3654</v>
      </c>
      <c r="D385" t="s">
        <v>3655</v>
      </c>
      <c r="E385" t="s">
        <v>3656</v>
      </c>
      <c r="F385" t="s">
        <v>3657</v>
      </c>
      <c r="G385" t="s">
        <v>6210</v>
      </c>
      <c r="H385">
        <v>17126</v>
      </c>
      <c r="I385" t="s">
        <v>1938</v>
      </c>
      <c r="J385" t="s">
        <v>776</v>
      </c>
    </row>
    <row r="386" spans="1:10" x14ac:dyDescent="0.25">
      <c r="A386" t="s">
        <v>778</v>
      </c>
      <c r="B386" t="s">
        <v>3658</v>
      </c>
      <c r="D386" t="s">
        <v>3659</v>
      </c>
      <c r="E386" t="s">
        <v>3660</v>
      </c>
      <c r="F386" t="s">
        <v>2321</v>
      </c>
      <c r="G386" t="s">
        <v>6210</v>
      </c>
      <c r="H386">
        <v>75216</v>
      </c>
      <c r="I386" t="s">
        <v>1947</v>
      </c>
      <c r="J386" t="s">
        <v>778</v>
      </c>
    </row>
    <row r="387" spans="1:10" x14ac:dyDescent="0.25">
      <c r="A387" t="s">
        <v>780</v>
      </c>
      <c r="B387" t="s">
        <v>3661</v>
      </c>
      <c r="C387" t="s">
        <v>3662</v>
      </c>
      <c r="D387" t="s">
        <v>3663</v>
      </c>
      <c r="E387" t="s">
        <v>3664</v>
      </c>
      <c r="F387" t="s">
        <v>2371</v>
      </c>
      <c r="G387" t="s">
        <v>6210</v>
      </c>
      <c r="H387">
        <v>64125</v>
      </c>
      <c r="I387" t="s">
        <v>1938</v>
      </c>
      <c r="J387" t="s">
        <v>780</v>
      </c>
    </row>
    <row r="388" spans="1:10" x14ac:dyDescent="0.25">
      <c r="A388" t="s">
        <v>782</v>
      </c>
      <c r="B388" t="s">
        <v>3665</v>
      </c>
      <c r="D388" t="s">
        <v>3666</v>
      </c>
      <c r="E388" t="s">
        <v>3667</v>
      </c>
      <c r="F388" t="s">
        <v>1958</v>
      </c>
      <c r="G388" t="s">
        <v>6210</v>
      </c>
      <c r="H388">
        <v>62723</v>
      </c>
      <c r="I388" t="s">
        <v>1938</v>
      </c>
      <c r="J388" t="s">
        <v>782</v>
      </c>
    </row>
    <row r="389" spans="1:10" x14ac:dyDescent="0.25">
      <c r="A389" t="s">
        <v>784</v>
      </c>
      <c r="B389" t="s">
        <v>3668</v>
      </c>
      <c r="C389" t="s">
        <v>3669</v>
      </c>
      <c r="D389" t="s">
        <v>3670</v>
      </c>
      <c r="E389" t="s">
        <v>3671</v>
      </c>
      <c r="F389" t="s">
        <v>3672</v>
      </c>
      <c r="G389" t="s">
        <v>6210</v>
      </c>
      <c r="H389">
        <v>6510</v>
      </c>
      <c r="I389" t="s">
        <v>1938</v>
      </c>
      <c r="J389" t="s">
        <v>784</v>
      </c>
    </row>
    <row r="390" spans="1:10" x14ac:dyDescent="0.25">
      <c r="A390" t="s">
        <v>786</v>
      </c>
      <c r="B390" t="s">
        <v>3673</v>
      </c>
      <c r="C390" t="s">
        <v>3674</v>
      </c>
      <c r="D390" t="s">
        <v>3675</v>
      </c>
      <c r="E390" t="s">
        <v>3676</v>
      </c>
      <c r="F390" t="s">
        <v>3677</v>
      </c>
      <c r="G390" t="s">
        <v>6210</v>
      </c>
      <c r="H390">
        <v>30045</v>
      </c>
      <c r="I390" t="s">
        <v>1938</v>
      </c>
      <c r="J390" t="s">
        <v>786</v>
      </c>
    </row>
    <row r="391" spans="1:10" x14ac:dyDescent="0.25">
      <c r="A391" t="s">
        <v>788</v>
      </c>
      <c r="B391" t="s">
        <v>3678</v>
      </c>
      <c r="C391" t="s">
        <v>3679</v>
      </c>
      <c r="D391" t="s">
        <v>3680</v>
      </c>
      <c r="E391" t="s">
        <v>3681</v>
      </c>
      <c r="F391" t="s">
        <v>3682</v>
      </c>
      <c r="G391" t="s">
        <v>6210</v>
      </c>
      <c r="H391">
        <v>28805</v>
      </c>
      <c r="I391" t="s">
        <v>1938</v>
      </c>
      <c r="J391" t="s">
        <v>788</v>
      </c>
    </row>
    <row r="392" spans="1:10" x14ac:dyDescent="0.25">
      <c r="A392" t="s">
        <v>790</v>
      </c>
      <c r="B392" t="s">
        <v>3683</v>
      </c>
      <c r="C392" t="s">
        <v>3684</v>
      </c>
      <c r="E392" t="s">
        <v>3685</v>
      </c>
      <c r="F392" t="s">
        <v>2229</v>
      </c>
      <c r="G392" t="s">
        <v>6210</v>
      </c>
      <c r="H392">
        <v>55123</v>
      </c>
      <c r="I392" t="s">
        <v>1938</v>
      </c>
      <c r="J392" t="s">
        <v>790</v>
      </c>
    </row>
    <row r="393" spans="1:10" x14ac:dyDescent="0.25">
      <c r="A393" t="s">
        <v>792</v>
      </c>
      <c r="B393" t="s">
        <v>3686</v>
      </c>
      <c r="C393" t="s">
        <v>3687</v>
      </c>
      <c r="E393" t="s">
        <v>3688</v>
      </c>
      <c r="F393" t="s">
        <v>2133</v>
      </c>
      <c r="G393" t="s">
        <v>6210</v>
      </c>
      <c r="H393">
        <v>55458</v>
      </c>
      <c r="I393" t="s">
        <v>1947</v>
      </c>
      <c r="J393" t="s">
        <v>792</v>
      </c>
    </row>
    <row r="394" spans="1:10" x14ac:dyDescent="0.25">
      <c r="A394" t="s">
        <v>794</v>
      </c>
      <c r="B394" t="s">
        <v>3689</v>
      </c>
      <c r="C394" t="s">
        <v>3690</v>
      </c>
      <c r="D394" t="s">
        <v>3691</v>
      </c>
      <c r="E394" t="s">
        <v>3692</v>
      </c>
      <c r="F394" t="s">
        <v>2568</v>
      </c>
      <c r="G394" t="s">
        <v>6210</v>
      </c>
      <c r="H394">
        <v>92725</v>
      </c>
      <c r="I394" t="s">
        <v>1947</v>
      </c>
      <c r="J394" t="s">
        <v>794</v>
      </c>
    </row>
    <row r="395" spans="1:10" x14ac:dyDescent="0.25">
      <c r="A395" t="s">
        <v>3693</v>
      </c>
      <c r="B395" t="s">
        <v>3694</v>
      </c>
      <c r="C395" t="s">
        <v>3695</v>
      </c>
      <c r="D395" t="s">
        <v>3696</v>
      </c>
      <c r="E395" t="s">
        <v>3697</v>
      </c>
      <c r="F395" t="s">
        <v>3698</v>
      </c>
      <c r="G395" t="s">
        <v>6210</v>
      </c>
      <c r="H395">
        <v>21747</v>
      </c>
      <c r="I395" t="s">
        <v>1938</v>
      </c>
      <c r="J395" t="s">
        <v>3693</v>
      </c>
    </row>
    <row r="396" spans="1:10" x14ac:dyDescent="0.25">
      <c r="A396" t="s">
        <v>796</v>
      </c>
      <c r="B396" t="s">
        <v>3699</v>
      </c>
      <c r="C396" t="s">
        <v>3700</v>
      </c>
      <c r="D396" t="s">
        <v>3701</v>
      </c>
      <c r="E396" t="s">
        <v>3702</v>
      </c>
      <c r="F396" t="s">
        <v>2133</v>
      </c>
      <c r="G396" t="s">
        <v>6210</v>
      </c>
      <c r="H396">
        <v>55458</v>
      </c>
      <c r="I396" t="s">
        <v>1947</v>
      </c>
      <c r="J396" t="s">
        <v>796</v>
      </c>
    </row>
    <row r="397" spans="1:10" x14ac:dyDescent="0.25">
      <c r="A397" t="s">
        <v>798</v>
      </c>
      <c r="B397" t="s">
        <v>3703</v>
      </c>
      <c r="C397" t="s">
        <v>3704</v>
      </c>
      <c r="E397" t="s">
        <v>3705</v>
      </c>
      <c r="F397" t="s">
        <v>2182</v>
      </c>
      <c r="G397" t="s">
        <v>6210</v>
      </c>
      <c r="H397">
        <v>20420</v>
      </c>
      <c r="I397" t="s">
        <v>1938</v>
      </c>
      <c r="J397" t="s">
        <v>798</v>
      </c>
    </row>
    <row r="398" spans="1:10" x14ac:dyDescent="0.25">
      <c r="A398" t="s">
        <v>800</v>
      </c>
      <c r="B398" t="s">
        <v>3706</v>
      </c>
      <c r="C398" t="s">
        <v>3707</v>
      </c>
      <c r="D398" t="s">
        <v>3708</v>
      </c>
      <c r="E398" t="s">
        <v>3709</v>
      </c>
      <c r="F398" t="s">
        <v>2173</v>
      </c>
      <c r="G398" t="s">
        <v>6210</v>
      </c>
      <c r="H398">
        <v>92415</v>
      </c>
      <c r="I398" t="s">
        <v>1947</v>
      </c>
      <c r="J398" t="s">
        <v>800</v>
      </c>
    </row>
    <row r="399" spans="1:10" x14ac:dyDescent="0.25">
      <c r="A399" t="s">
        <v>802</v>
      </c>
      <c r="B399" t="s">
        <v>3710</v>
      </c>
      <c r="C399" t="s">
        <v>3711</v>
      </c>
      <c r="D399" t="s">
        <v>3712</v>
      </c>
      <c r="E399" t="s">
        <v>3713</v>
      </c>
      <c r="F399" t="s">
        <v>2159</v>
      </c>
      <c r="G399" t="s">
        <v>6210</v>
      </c>
      <c r="H399">
        <v>14609</v>
      </c>
      <c r="I399" t="s">
        <v>1938</v>
      </c>
      <c r="J399" t="s">
        <v>802</v>
      </c>
    </row>
    <row r="400" spans="1:10" x14ac:dyDescent="0.25">
      <c r="A400" t="s">
        <v>804</v>
      </c>
      <c r="B400" t="s">
        <v>3714</v>
      </c>
      <c r="C400" t="s">
        <v>3715</v>
      </c>
      <c r="D400" t="s">
        <v>3716</v>
      </c>
      <c r="E400" t="s">
        <v>3717</v>
      </c>
      <c r="F400" t="s">
        <v>2054</v>
      </c>
      <c r="G400" t="s">
        <v>6210</v>
      </c>
      <c r="H400">
        <v>98664</v>
      </c>
      <c r="I400" t="s">
        <v>1938</v>
      </c>
      <c r="J400" t="s">
        <v>804</v>
      </c>
    </row>
    <row r="401" spans="1:10" x14ac:dyDescent="0.25">
      <c r="A401" t="s">
        <v>806</v>
      </c>
      <c r="B401" t="s">
        <v>3718</v>
      </c>
      <c r="C401" t="s">
        <v>3719</v>
      </c>
      <c r="D401" t="s">
        <v>3720</v>
      </c>
      <c r="E401" t="s">
        <v>3721</v>
      </c>
      <c r="F401" t="s">
        <v>3722</v>
      </c>
      <c r="G401" t="s">
        <v>2112</v>
      </c>
      <c r="H401" t="s">
        <v>3723</v>
      </c>
      <c r="I401" t="s">
        <v>1947</v>
      </c>
      <c r="J401" t="s">
        <v>806</v>
      </c>
    </row>
    <row r="402" spans="1:10" x14ac:dyDescent="0.25">
      <c r="A402" t="s">
        <v>808</v>
      </c>
      <c r="B402" t="s">
        <v>3724</v>
      </c>
      <c r="C402" t="s">
        <v>3725</v>
      </c>
      <c r="D402" t="s">
        <v>3726</v>
      </c>
      <c r="E402" t="s">
        <v>3727</v>
      </c>
      <c r="F402" t="s">
        <v>2182</v>
      </c>
      <c r="G402" t="s">
        <v>6210</v>
      </c>
      <c r="H402">
        <v>20057</v>
      </c>
      <c r="I402" t="s">
        <v>1947</v>
      </c>
      <c r="J402" t="s">
        <v>808</v>
      </c>
    </row>
    <row r="403" spans="1:10" x14ac:dyDescent="0.25">
      <c r="A403" t="s">
        <v>810</v>
      </c>
      <c r="B403" t="s">
        <v>3728</v>
      </c>
      <c r="C403" t="s">
        <v>3729</v>
      </c>
      <c r="D403" t="s">
        <v>3730</v>
      </c>
      <c r="E403" t="s">
        <v>3731</v>
      </c>
      <c r="F403" t="s">
        <v>3407</v>
      </c>
      <c r="G403" t="s">
        <v>6210</v>
      </c>
      <c r="H403">
        <v>37924</v>
      </c>
      <c r="I403" t="s">
        <v>1938</v>
      </c>
      <c r="J403" t="s">
        <v>810</v>
      </c>
    </row>
    <row r="404" spans="1:10" x14ac:dyDescent="0.25">
      <c r="A404" t="s">
        <v>812</v>
      </c>
      <c r="B404" t="s">
        <v>3732</v>
      </c>
      <c r="C404" t="s">
        <v>3733</v>
      </c>
      <c r="D404" t="s">
        <v>3734</v>
      </c>
      <c r="E404" t="s">
        <v>3735</v>
      </c>
      <c r="F404" t="s">
        <v>2118</v>
      </c>
      <c r="G404" t="s">
        <v>6210</v>
      </c>
      <c r="H404">
        <v>25336</v>
      </c>
      <c r="I404" t="s">
        <v>1938</v>
      </c>
      <c r="J404" t="s">
        <v>812</v>
      </c>
    </row>
    <row r="405" spans="1:10" x14ac:dyDescent="0.25">
      <c r="A405" t="s">
        <v>814</v>
      </c>
      <c r="B405" t="s">
        <v>3736</v>
      </c>
      <c r="C405" t="s">
        <v>3737</v>
      </c>
      <c r="D405" t="s">
        <v>3738</v>
      </c>
      <c r="E405" t="s">
        <v>3739</v>
      </c>
      <c r="F405" t="s">
        <v>2321</v>
      </c>
      <c r="G405" t="s">
        <v>6210</v>
      </c>
      <c r="H405">
        <v>75372</v>
      </c>
      <c r="I405" t="s">
        <v>1947</v>
      </c>
      <c r="J405" t="s">
        <v>814</v>
      </c>
    </row>
    <row r="406" spans="1:10" x14ac:dyDescent="0.25">
      <c r="A406" t="s">
        <v>816</v>
      </c>
      <c r="B406" t="s">
        <v>3740</v>
      </c>
      <c r="C406" t="s">
        <v>3741</v>
      </c>
      <c r="D406" t="s">
        <v>3742</v>
      </c>
      <c r="E406" t="s">
        <v>3743</v>
      </c>
      <c r="F406" t="s">
        <v>3744</v>
      </c>
      <c r="G406" t="s">
        <v>1945</v>
      </c>
      <c r="H406" t="s">
        <v>3745</v>
      </c>
      <c r="I406" t="s">
        <v>1947</v>
      </c>
      <c r="J406" t="s">
        <v>816</v>
      </c>
    </row>
    <row r="407" spans="1:10" x14ac:dyDescent="0.25">
      <c r="A407" t="s">
        <v>818</v>
      </c>
      <c r="B407" t="s">
        <v>3746</v>
      </c>
      <c r="C407" t="s">
        <v>3747</v>
      </c>
      <c r="D407" t="s">
        <v>3748</v>
      </c>
      <c r="E407" t="s">
        <v>3749</v>
      </c>
      <c r="F407" t="s">
        <v>3750</v>
      </c>
      <c r="G407" t="s">
        <v>6210</v>
      </c>
      <c r="H407">
        <v>95973</v>
      </c>
      <c r="I407" t="s">
        <v>1938</v>
      </c>
      <c r="J407" t="s">
        <v>818</v>
      </c>
    </row>
    <row r="408" spans="1:10" x14ac:dyDescent="0.25">
      <c r="A408" t="s">
        <v>820</v>
      </c>
      <c r="B408" t="s">
        <v>3751</v>
      </c>
      <c r="C408" t="s">
        <v>3752</v>
      </c>
      <c r="D408" t="s">
        <v>3753</v>
      </c>
      <c r="E408" t="s">
        <v>3754</v>
      </c>
      <c r="F408" t="s">
        <v>2123</v>
      </c>
      <c r="G408" t="s">
        <v>6210</v>
      </c>
      <c r="H408">
        <v>72215</v>
      </c>
      <c r="I408" t="s">
        <v>1938</v>
      </c>
      <c r="J408" t="s">
        <v>820</v>
      </c>
    </row>
    <row r="409" spans="1:10" x14ac:dyDescent="0.25">
      <c r="A409" t="s">
        <v>822</v>
      </c>
      <c r="B409" t="s">
        <v>3755</v>
      </c>
      <c r="D409" t="s">
        <v>3756</v>
      </c>
      <c r="E409" t="s">
        <v>3757</v>
      </c>
      <c r="F409" t="s">
        <v>3758</v>
      </c>
      <c r="G409" t="s">
        <v>1945</v>
      </c>
      <c r="H409" t="s">
        <v>3759</v>
      </c>
      <c r="I409" t="s">
        <v>1947</v>
      </c>
      <c r="J409" t="s">
        <v>822</v>
      </c>
    </row>
    <row r="410" spans="1:10" x14ac:dyDescent="0.25">
      <c r="A410" t="s">
        <v>824</v>
      </c>
      <c r="B410" t="s">
        <v>3760</v>
      </c>
      <c r="C410" t="s">
        <v>3761</v>
      </c>
      <c r="D410" t="s">
        <v>3762</v>
      </c>
      <c r="E410" t="s">
        <v>3763</v>
      </c>
      <c r="F410" t="s">
        <v>3764</v>
      </c>
      <c r="G410" t="s">
        <v>6210</v>
      </c>
      <c r="H410">
        <v>8922</v>
      </c>
      <c r="I410" t="s">
        <v>1938</v>
      </c>
      <c r="J410" t="s">
        <v>824</v>
      </c>
    </row>
    <row r="411" spans="1:10" x14ac:dyDescent="0.25">
      <c r="A411" t="s">
        <v>826</v>
      </c>
      <c r="B411" t="s">
        <v>3765</v>
      </c>
      <c r="D411" t="s">
        <v>3766</v>
      </c>
      <c r="E411" t="s">
        <v>3767</v>
      </c>
      <c r="F411" t="s">
        <v>3768</v>
      </c>
      <c r="G411" t="s">
        <v>1945</v>
      </c>
      <c r="H411" t="s">
        <v>3769</v>
      </c>
      <c r="I411" t="s">
        <v>1938</v>
      </c>
      <c r="J411" t="s">
        <v>826</v>
      </c>
    </row>
    <row r="412" spans="1:10" x14ac:dyDescent="0.25">
      <c r="A412" t="s">
        <v>828</v>
      </c>
      <c r="B412" t="s">
        <v>3770</v>
      </c>
      <c r="D412" t="s">
        <v>3771</v>
      </c>
      <c r="E412" t="s">
        <v>3772</v>
      </c>
      <c r="F412" t="s">
        <v>3085</v>
      </c>
      <c r="G412" t="s">
        <v>6210</v>
      </c>
      <c r="H412">
        <v>94132</v>
      </c>
      <c r="I412" t="s">
        <v>1947</v>
      </c>
      <c r="J412" t="s">
        <v>828</v>
      </c>
    </row>
    <row r="413" spans="1:10" x14ac:dyDescent="0.25">
      <c r="A413" t="s">
        <v>830</v>
      </c>
      <c r="B413" t="s">
        <v>3773</v>
      </c>
      <c r="D413" t="s">
        <v>3774</v>
      </c>
      <c r="E413" t="s">
        <v>3775</v>
      </c>
      <c r="F413" t="s">
        <v>3776</v>
      </c>
      <c r="G413" t="s">
        <v>6210</v>
      </c>
      <c r="H413">
        <v>70505</v>
      </c>
      <c r="I413" t="s">
        <v>1938</v>
      </c>
      <c r="J413" t="s">
        <v>830</v>
      </c>
    </row>
    <row r="414" spans="1:10" x14ac:dyDescent="0.25">
      <c r="A414" t="s">
        <v>832</v>
      </c>
      <c r="B414" t="s">
        <v>3777</v>
      </c>
      <c r="D414" t="s">
        <v>3778</v>
      </c>
      <c r="E414" t="s">
        <v>3779</v>
      </c>
      <c r="F414" t="s">
        <v>3780</v>
      </c>
      <c r="G414" t="s">
        <v>6210</v>
      </c>
      <c r="H414">
        <v>92191</v>
      </c>
      <c r="I414" t="s">
        <v>1938</v>
      </c>
      <c r="J414" t="s">
        <v>832</v>
      </c>
    </row>
    <row r="415" spans="1:10" x14ac:dyDescent="0.25">
      <c r="A415" t="s">
        <v>834</v>
      </c>
      <c r="B415" t="s">
        <v>3781</v>
      </c>
      <c r="C415" t="s">
        <v>3782</v>
      </c>
      <c r="D415" t="s">
        <v>3783</v>
      </c>
      <c r="E415" t="s">
        <v>3784</v>
      </c>
      <c r="F415" t="s">
        <v>3785</v>
      </c>
      <c r="G415" t="s">
        <v>6210</v>
      </c>
      <c r="H415">
        <v>91841</v>
      </c>
      <c r="I415" t="s">
        <v>1938</v>
      </c>
      <c r="J415" t="s">
        <v>834</v>
      </c>
    </row>
    <row r="416" spans="1:10" x14ac:dyDescent="0.25">
      <c r="A416" t="s">
        <v>836</v>
      </c>
      <c r="B416" t="s">
        <v>3786</v>
      </c>
      <c r="D416" t="s">
        <v>3787</v>
      </c>
      <c r="E416" t="s">
        <v>3788</v>
      </c>
      <c r="F416" t="s">
        <v>3510</v>
      </c>
      <c r="G416" t="s">
        <v>6210</v>
      </c>
      <c r="H416">
        <v>75799</v>
      </c>
      <c r="I416" t="s">
        <v>1938</v>
      </c>
      <c r="J416" t="s">
        <v>836</v>
      </c>
    </row>
    <row r="417" spans="1:10" x14ac:dyDescent="0.25">
      <c r="A417" t="s">
        <v>838</v>
      </c>
      <c r="B417" t="s">
        <v>3789</v>
      </c>
      <c r="C417" t="s">
        <v>3790</v>
      </c>
      <c r="E417" t="s">
        <v>3791</v>
      </c>
      <c r="F417" t="s">
        <v>3776</v>
      </c>
      <c r="G417" t="s">
        <v>6210</v>
      </c>
      <c r="H417">
        <v>70593</v>
      </c>
      <c r="I417" t="s">
        <v>1947</v>
      </c>
      <c r="J417" t="s">
        <v>838</v>
      </c>
    </row>
    <row r="418" spans="1:10" x14ac:dyDescent="0.25">
      <c r="A418" t="s">
        <v>840</v>
      </c>
      <c r="B418" t="s">
        <v>3792</v>
      </c>
      <c r="D418" t="s">
        <v>3793</v>
      </c>
      <c r="E418" t="s">
        <v>3794</v>
      </c>
      <c r="F418" t="s">
        <v>1972</v>
      </c>
      <c r="G418" t="s">
        <v>6210</v>
      </c>
      <c r="H418">
        <v>45426</v>
      </c>
      <c r="I418" t="s">
        <v>1938</v>
      </c>
      <c r="J418" t="s">
        <v>840</v>
      </c>
    </row>
    <row r="419" spans="1:10" x14ac:dyDescent="0.25">
      <c r="A419" t="s">
        <v>842</v>
      </c>
      <c r="B419" t="s">
        <v>3795</v>
      </c>
      <c r="D419" t="s">
        <v>3796</v>
      </c>
      <c r="E419" t="s">
        <v>3797</v>
      </c>
      <c r="F419" t="s">
        <v>3094</v>
      </c>
      <c r="G419" t="s">
        <v>6210</v>
      </c>
      <c r="H419">
        <v>85072</v>
      </c>
      <c r="I419" t="s">
        <v>1938</v>
      </c>
      <c r="J419" t="s">
        <v>842</v>
      </c>
    </row>
    <row r="420" spans="1:10" x14ac:dyDescent="0.25">
      <c r="A420" t="s">
        <v>844</v>
      </c>
      <c r="B420" t="s">
        <v>3798</v>
      </c>
      <c r="C420" t="s">
        <v>3799</v>
      </c>
      <c r="E420" t="s">
        <v>3800</v>
      </c>
      <c r="F420" t="s">
        <v>2994</v>
      </c>
      <c r="G420" t="s">
        <v>6210</v>
      </c>
      <c r="H420">
        <v>94263</v>
      </c>
      <c r="I420" t="s">
        <v>1938</v>
      </c>
      <c r="J420" t="s">
        <v>844</v>
      </c>
    </row>
    <row r="421" spans="1:10" x14ac:dyDescent="0.25">
      <c r="A421" t="s">
        <v>846</v>
      </c>
      <c r="B421" t="s">
        <v>3801</v>
      </c>
      <c r="C421" t="s">
        <v>3802</v>
      </c>
      <c r="D421" t="s">
        <v>3803</v>
      </c>
      <c r="E421" t="s">
        <v>3804</v>
      </c>
      <c r="F421" t="s">
        <v>3331</v>
      </c>
      <c r="G421" t="s">
        <v>6210</v>
      </c>
      <c r="H421">
        <v>68505</v>
      </c>
      <c r="I421" t="s">
        <v>1938</v>
      </c>
      <c r="J421" t="s">
        <v>846</v>
      </c>
    </row>
    <row r="422" spans="1:10" x14ac:dyDescent="0.25">
      <c r="A422" t="s">
        <v>3805</v>
      </c>
      <c r="B422" t="s">
        <v>3806</v>
      </c>
      <c r="C422" t="s">
        <v>3807</v>
      </c>
      <c r="D422" t="s">
        <v>3808</v>
      </c>
      <c r="E422" t="s">
        <v>3809</v>
      </c>
      <c r="F422" t="s">
        <v>3657</v>
      </c>
      <c r="G422" t="s">
        <v>6210</v>
      </c>
      <c r="H422">
        <v>17126</v>
      </c>
      <c r="I422" t="s">
        <v>1947</v>
      </c>
      <c r="J422" t="s">
        <v>3805</v>
      </c>
    </row>
    <row r="423" spans="1:10" x14ac:dyDescent="0.25">
      <c r="A423" t="s">
        <v>3810</v>
      </c>
      <c r="B423" t="s">
        <v>3811</v>
      </c>
      <c r="C423" t="s">
        <v>3812</v>
      </c>
      <c r="D423" t="s">
        <v>3813</v>
      </c>
      <c r="E423" t="s">
        <v>3814</v>
      </c>
      <c r="F423" t="s">
        <v>2140</v>
      </c>
      <c r="G423" t="s">
        <v>6210</v>
      </c>
      <c r="H423">
        <v>70174</v>
      </c>
      <c r="I423" t="s">
        <v>1938</v>
      </c>
      <c r="J423" t="s">
        <v>3810</v>
      </c>
    </row>
    <row r="424" spans="1:10" x14ac:dyDescent="0.25">
      <c r="A424" t="s">
        <v>849</v>
      </c>
      <c r="B424" t="s">
        <v>3815</v>
      </c>
      <c r="D424" t="s">
        <v>3816</v>
      </c>
      <c r="E424" t="s">
        <v>3817</v>
      </c>
      <c r="F424" t="s">
        <v>3818</v>
      </c>
      <c r="G424" t="s">
        <v>6210</v>
      </c>
      <c r="H424">
        <v>53726</v>
      </c>
      <c r="I424" t="s">
        <v>1947</v>
      </c>
      <c r="J424" t="s">
        <v>849</v>
      </c>
    </row>
    <row r="425" spans="1:10" x14ac:dyDescent="0.25">
      <c r="A425" t="s">
        <v>851</v>
      </c>
      <c r="B425" t="s">
        <v>3819</v>
      </c>
      <c r="D425" t="s">
        <v>3820</v>
      </c>
      <c r="E425" t="s">
        <v>3821</v>
      </c>
      <c r="F425" t="s">
        <v>2118</v>
      </c>
      <c r="G425" t="s">
        <v>6210</v>
      </c>
      <c r="H425">
        <v>25336</v>
      </c>
      <c r="I425" t="s">
        <v>1947</v>
      </c>
      <c r="J425" t="s">
        <v>851</v>
      </c>
    </row>
    <row r="426" spans="1:10" x14ac:dyDescent="0.25">
      <c r="A426" t="s">
        <v>853</v>
      </c>
      <c r="B426" t="s">
        <v>3822</v>
      </c>
      <c r="C426" t="s">
        <v>3823</v>
      </c>
      <c r="D426" t="s">
        <v>3824</v>
      </c>
      <c r="E426" t="s">
        <v>3825</v>
      </c>
      <c r="F426" t="s">
        <v>2123</v>
      </c>
      <c r="G426" t="s">
        <v>6210</v>
      </c>
      <c r="H426">
        <v>72204</v>
      </c>
      <c r="I426" t="s">
        <v>1938</v>
      </c>
      <c r="J426" t="s">
        <v>853</v>
      </c>
    </row>
    <row r="427" spans="1:10" x14ac:dyDescent="0.25">
      <c r="A427" t="s">
        <v>855</v>
      </c>
      <c r="B427" t="s">
        <v>3826</v>
      </c>
      <c r="C427" t="s">
        <v>3827</v>
      </c>
      <c r="D427" t="s">
        <v>3828</v>
      </c>
      <c r="E427" t="s">
        <v>3829</v>
      </c>
      <c r="F427" t="s">
        <v>2497</v>
      </c>
      <c r="G427" t="s">
        <v>6210</v>
      </c>
      <c r="H427">
        <v>99507</v>
      </c>
      <c r="I427" t="s">
        <v>1947</v>
      </c>
      <c r="J427" t="s">
        <v>855</v>
      </c>
    </row>
    <row r="428" spans="1:10" x14ac:dyDescent="0.25">
      <c r="A428" t="s">
        <v>857</v>
      </c>
      <c r="B428" t="s">
        <v>3830</v>
      </c>
      <c r="C428" t="s">
        <v>3831</v>
      </c>
      <c r="D428" t="s">
        <v>3832</v>
      </c>
      <c r="E428" t="s">
        <v>3833</v>
      </c>
      <c r="F428" t="s">
        <v>3834</v>
      </c>
      <c r="G428" t="s">
        <v>1945</v>
      </c>
      <c r="H428" t="s">
        <v>3835</v>
      </c>
      <c r="I428" t="s">
        <v>1938</v>
      </c>
      <c r="J428" t="s">
        <v>857</v>
      </c>
    </row>
    <row r="429" spans="1:10" x14ac:dyDescent="0.25">
      <c r="A429" t="s">
        <v>859</v>
      </c>
      <c r="B429" t="s">
        <v>3836</v>
      </c>
      <c r="D429" t="s">
        <v>3837</v>
      </c>
      <c r="E429" t="s">
        <v>3838</v>
      </c>
      <c r="F429" t="s">
        <v>3085</v>
      </c>
      <c r="G429" t="s">
        <v>6210</v>
      </c>
      <c r="H429">
        <v>94110</v>
      </c>
      <c r="I429" t="s">
        <v>1938</v>
      </c>
      <c r="J429" t="s">
        <v>859</v>
      </c>
    </row>
    <row r="430" spans="1:10" x14ac:dyDescent="0.25">
      <c r="A430" t="s">
        <v>861</v>
      </c>
      <c r="B430" t="s">
        <v>3839</v>
      </c>
      <c r="C430" t="s">
        <v>3840</v>
      </c>
      <c r="D430" t="s">
        <v>3841</v>
      </c>
      <c r="E430" t="s">
        <v>3842</v>
      </c>
      <c r="F430" t="s">
        <v>2835</v>
      </c>
      <c r="G430" t="s">
        <v>6210</v>
      </c>
      <c r="H430">
        <v>44485</v>
      </c>
      <c r="I430" t="s">
        <v>1947</v>
      </c>
      <c r="J430" t="s">
        <v>861</v>
      </c>
    </row>
    <row r="431" spans="1:10" x14ac:dyDescent="0.25">
      <c r="A431" t="s">
        <v>3843</v>
      </c>
      <c r="B431" t="s">
        <v>3844</v>
      </c>
      <c r="C431" t="s">
        <v>3845</v>
      </c>
      <c r="D431" t="s">
        <v>3846</v>
      </c>
      <c r="E431" t="s">
        <v>3847</v>
      </c>
      <c r="F431" t="s">
        <v>3848</v>
      </c>
      <c r="G431" t="s">
        <v>6210</v>
      </c>
      <c r="H431">
        <v>23324</v>
      </c>
      <c r="I431" t="s">
        <v>1947</v>
      </c>
      <c r="J431" t="s">
        <v>3843</v>
      </c>
    </row>
    <row r="432" spans="1:10" x14ac:dyDescent="0.25">
      <c r="A432" t="s">
        <v>864</v>
      </c>
      <c r="B432" t="s">
        <v>3849</v>
      </c>
      <c r="C432" t="s">
        <v>3850</v>
      </c>
      <c r="D432" t="s">
        <v>3851</v>
      </c>
      <c r="E432" t="s">
        <v>3852</v>
      </c>
      <c r="F432" t="s">
        <v>3853</v>
      </c>
      <c r="G432" t="s">
        <v>6210</v>
      </c>
      <c r="H432">
        <v>39236</v>
      </c>
      <c r="I432" t="s">
        <v>1938</v>
      </c>
      <c r="J432" t="s">
        <v>864</v>
      </c>
    </row>
    <row r="433" spans="1:10" x14ac:dyDescent="0.25">
      <c r="A433" t="s">
        <v>866</v>
      </c>
      <c r="B433" t="s">
        <v>3854</v>
      </c>
      <c r="C433" t="s">
        <v>3855</v>
      </c>
      <c r="D433" t="s">
        <v>3856</v>
      </c>
      <c r="E433" t="s">
        <v>3857</v>
      </c>
      <c r="F433" t="s">
        <v>3858</v>
      </c>
      <c r="G433" t="s">
        <v>1945</v>
      </c>
      <c r="H433" t="s">
        <v>3859</v>
      </c>
      <c r="I433" t="s">
        <v>1938</v>
      </c>
      <c r="J433" t="s">
        <v>866</v>
      </c>
    </row>
    <row r="434" spans="1:10" x14ac:dyDescent="0.25">
      <c r="A434" t="s">
        <v>868</v>
      </c>
      <c r="B434" t="s">
        <v>3860</v>
      </c>
      <c r="D434" t="s">
        <v>3861</v>
      </c>
      <c r="E434" t="s">
        <v>3862</v>
      </c>
      <c r="F434" t="s">
        <v>3116</v>
      </c>
      <c r="G434" t="s">
        <v>6210</v>
      </c>
      <c r="H434">
        <v>53277</v>
      </c>
      <c r="I434" t="s">
        <v>1947</v>
      </c>
      <c r="J434" t="s">
        <v>868</v>
      </c>
    </row>
    <row r="435" spans="1:10" x14ac:dyDescent="0.25">
      <c r="A435" t="s">
        <v>870</v>
      </c>
      <c r="B435" t="s">
        <v>3863</v>
      </c>
      <c r="C435" t="s">
        <v>3864</v>
      </c>
      <c r="D435" t="s">
        <v>3865</v>
      </c>
      <c r="E435" t="s">
        <v>3866</v>
      </c>
      <c r="F435" t="s">
        <v>2994</v>
      </c>
      <c r="G435" t="s">
        <v>6210</v>
      </c>
      <c r="H435">
        <v>94250</v>
      </c>
      <c r="I435" t="s">
        <v>1938</v>
      </c>
      <c r="J435" t="s">
        <v>870</v>
      </c>
    </row>
    <row r="436" spans="1:10" x14ac:dyDescent="0.25">
      <c r="A436" t="s">
        <v>872</v>
      </c>
      <c r="B436" t="s">
        <v>3867</v>
      </c>
      <c r="D436" t="s">
        <v>3868</v>
      </c>
      <c r="E436" t="s">
        <v>3869</v>
      </c>
      <c r="F436" t="s">
        <v>2154</v>
      </c>
      <c r="G436" t="s">
        <v>6210</v>
      </c>
      <c r="H436">
        <v>2298</v>
      </c>
      <c r="I436" t="s">
        <v>1947</v>
      </c>
      <c r="J436" t="s">
        <v>872</v>
      </c>
    </row>
    <row r="437" spans="1:10" x14ac:dyDescent="0.25">
      <c r="A437" t="s">
        <v>874</v>
      </c>
      <c r="B437" t="s">
        <v>3870</v>
      </c>
      <c r="C437" t="s">
        <v>3871</v>
      </c>
      <c r="D437" t="s">
        <v>3872</v>
      </c>
      <c r="E437" t="s">
        <v>3873</v>
      </c>
      <c r="F437" t="s">
        <v>3505</v>
      </c>
      <c r="G437" t="s">
        <v>6210</v>
      </c>
      <c r="H437">
        <v>66622</v>
      </c>
      <c r="I437" t="s">
        <v>1947</v>
      </c>
      <c r="J437" t="s">
        <v>874</v>
      </c>
    </row>
    <row r="438" spans="1:10" x14ac:dyDescent="0.25">
      <c r="A438" t="s">
        <v>876</v>
      </c>
      <c r="B438" t="s">
        <v>3874</v>
      </c>
      <c r="C438" t="s">
        <v>3875</v>
      </c>
      <c r="D438" t="s">
        <v>3876</v>
      </c>
      <c r="E438" t="s">
        <v>3877</v>
      </c>
      <c r="F438" t="s">
        <v>2546</v>
      </c>
      <c r="G438" t="s">
        <v>6210</v>
      </c>
      <c r="H438">
        <v>58122</v>
      </c>
      <c r="I438" t="s">
        <v>1938</v>
      </c>
      <c r="J438" t="s">
        <v>876</v>
      </c>
    </row>
    <row r="439" spans="1:10" x14ac:dyDescent="0.25">
      <c r="A439" t="s">
        <v>878</v>
      </c>
      <c r="B439" t="s">
        <v>3878</v>
      </c>
      <c r="D439" t="s">
        <v>3879</v>
      </c>
      <c r="E439" t="s">
        <v>3880</v>
      </c>
      <c r="F439" t="s">
        <v>2023</v>
      </c>
      <c r="G439" t="s">
        <v>6210</v>
      </c>
      <c r="H439">
        <v>77095</v>
      </c>
      <c r="I439" t="s">
        <v>1947</v>
      </c>
      <c r="J439" t="s">
        <v>878</v>
      </c>
    </row>
    <row r="440" spans="1:10" x14ac:dyDescent="0.25">
      <c r="A440" t="s">
        <v>3881</v>
      </c>
      <c r="B440" t="s">
        <v>3882</v>
      </c>
      <c r="C440" t="s">
        <v>3883</v>
      </c>
      <c r="D440" t="s">
        <v>3884</v>
      </c>
      <c r="E440" t="s">
        <v>3885</v>
      </c>
      <c r="F440" t="s">
        <v>2358</v>
      </c>
      <c r="G440" t="s">
        <v>6210</v>
      </c>
      <c r="H440">
        <v>73190</v>
      </c>
      <c r="I440" t="s">
        <v>1947</v>
      </c>
      <c r="J440" t="s">
        <v>3881</v>
      </c>
    </row>
    <row r="441" spans="1:10" x14ac:dyDescent="0.25">
      <c r="A441" t="s">
        <v>882</v>
      </c>
      <c r="B441" t="s">
        <v>3886</v>
      </c>
      <c r="C441" t="s">
        <v>3887</v>
      </c>
      <c r="D441" t="s">
        <v>3888</v>
      </c>
      <c r="E441" t="s">
        <v>3889</v>
      </c>
      <c r="F441" t="s">
        <v>2027</v>
      </c>
      <c r="G441" t="s">
        <v>1945</v>
      </c>
      <c r="H441" t="s">
        <v>2028</v>
      </c>
      <c r="I441" t="s">
        <v>1947</v>
      </c>
      <c r="J441" t="s">
        <v>882</v>
      </c>
    </row>
    <row r="442" spans="1:10" x14ac:dyDescent="0.25">
      <c r="A442" t="s">
        <v>884</v>
      </c>
      <c r="B442" t="s">
        <v>3890</v>
      </c>
      <c r="C442" t="s">
        <v>3891</v>
      </c>
      <c r="D442" t="s">
        <v>3892</v>
      </c>
      <c r="E442" t="s">
        <v>3893</v>
      </c>
      <c r="F442" t="s">
        <v>2346</v>
      </c>
      <c r="G442" t="s">
        <v>6210</v>
      </c>
      <c r="H442">
        <v>14205</v>
      </c>
      <c r="I442" t="s">
        <v>1938</v>
      </c>
      <c r="J442" t="s">
        <v>884</v>
      </c>
    </row>
    <row r="443" spans="1:10" x14ac:dyDescent="0.25">
      <c r="A443" t="s">
        <v>886</v>
      </c>
      <c r="B443" t="s">
        <v>3894</v>
      </c>
      <c r="C443" t="s">
        <v>3895</v>
      </c>
      <c r="D443" t="s">
        <v>3896</v>
      </c>
      <c r="E443" t="s">
        <v>3897</v>
      </c>
      <c r="F443" t="s">
        <v>3188</v>
      </c>
      <c r="G443" t="s">
        <v>1945</v>
      </c>
      <c r="H443" t="s">
        <v>3189</v>
      </c>
      <c r="I443" t="s">
        <v>1938</v>
      </c>
      <c r="J443" t="s">
        <v>886</v>
      </c>
    </row>
    <row r="444" spans="1:10" x14ac:dyDescent="0.25">
      <c r="A444" t="s">
        <v>888</v>
      </c>
      <c r="B444" t="s">
        <v>3898</v>
      </c>
      <c r="C444" t="s">
        <v>3899</v>
      </c>
      <c r="D444" t="s">
        <v>3900</v>
      </c>
      <c r="E444" t="s">
        <v>3901</v>
      </c>
      <c r="F444" t="s">
        <v>3902</v>
      </c>
      <c r="G444" t="s">
        <v>6210</v>
      </c>
      <c r="H444">
        <v>18018</v>
      </c>
      <c r="I444" t="s">
        <v>1947</v>
      </c>
      <c r="J444" t="s">
        <v>888</v>
      </c>
    </row>
    <row r="445" spans="1:10" x14ac:dyDescent="0.25">
      <c r="A445" t="s">
        <v>890</v>
      </c>
      <c r="B445" t="s">
        <v>3903</v>
      </c>
      <c r="C445" t="s">
        <v>3904</v>
      </c>
      <c r="D445" t="s">
        <v>3905</v>
      </c>
      <c r="E445" t="s">
        <v>3906</v>
      </c>
      <c r="F445" t="s">
        <v>3907</v>
      </c>
      <c r="G445" t="s">
        <v>1945</v>
      </c>
      <c r="H445" t="s">
        <v>3908</v>
      </c>
      <c r="I445" t="s">
        <v>1938</v>
      </c>
      <c r="J445" t="s">
        <v>890</v>
      </c>
    </row>
    <row r="446" spans="1:10" x14ac:dyDescent="0.25">
      <c r="A446" t="s">
        <v>892</v>
      </c>
      <c r="B446" t="s">
        <v>3909</v>
      </c>
      <c r="C446" t="s">
        <v>3910</v>
      </c>
      <c r="D446" t="s">
        <v>3911</v>
      </c>
      <c r="E446" t="s">
        <v>3912</v>
      </c>
      <c r="F446" t="s">
        <v>3913</v>
      </c>
      <c r="G446" t="s">
        <v>1945</v>
      </c>
      <c r="H446" t="s">
        <v>3914</v>
      </c>
      <c r="I446" t="s">
        <v>1947</v>
      </c>
      <c r="J446" t="s">
        <v>892</v>
      </c>
    </row>
    <row r="447" spans="1:10" x14ac:dyDescent="0.25">
      <c r="A447" t="s">
        <v>894</v>
      </c>
      <c r="B447" t="s">
        <v>3915</v>
      </c>
      <c r="C447" t="s">
        <v>3916</v>
      </c>
      <c r="E447" t="s">
        <v>3917</v>
      </c>
      <c r="F447" t="s">
        <v>3397</v>
      </c>
      <c r="G447" t="s">
        <v>1945</v>
      </c>
      <c r="H447" t="s">
        <v>2079</v>
      </c>
      <c r="I447" t="s">
        <v>1938</v>
      </c>
      <c r="J447" t="s">
        <v>894</v>
      </c>
    </row>
    <row r="448" spans="1:10" x14ac:dyDescent="0.25">
      <c r="A448" t="s">
        <v>896</v>
      </c>
      <c r="B448" t="s">
        <v>3918</v>
      </c>
      <c r="C448" t="s">
        <v>3919</v>
      </c>
      <c r="D448" t="s">
        <v>3920</v>
      </c>
      <c r="E448" t="s">
        <v>3921</v>
      </c>
      <c r="F448" t="s">
        <v>2168</v>
      </c>
      <c r="G448" t="s">
        <v>2112</v>
      </c>
      <c r="H448" t="s">
        <v>3922</v>
      </c>
      <c r="I448" t="s">
        <v>1938</v>
      </c>
      <c r="J448" t="s">
        <v>896</v>
      </c>
    </row>
    <row r="449" spans="1:10" x14ac:dyDescent="0.25">
      <c r="A449" t="s">
        <v>898</v>
      </c>
      <c r="B449" t="s">
        <v>3923</v>
      </c>
      <c r="C449" t="s">
        <v>3924</v>
      </c>
      <c r="E449" t="s">
        <v>3925</v>
      </c>
      <c r="F449" t="s">
        <v>3094</v>
      </c>
      <c r="G449" t="s">
        <v>6210</v>
      </c>
      <c r="H449">
        <v>85099</v>
      </c>
      <c r="I449" t="s">
        <v>1947</v>
      </c>
      <c r="J449" t="s">
        <v>898</v>
      </c>
    </row>
    <row r="450" spans="1:10" x14ac:dyDescent="0.25">
      <c r="A450" t="s">
        <v>900</v>
      </c>
      <c r="B450" t="s">
        <v>3926</v>
      </c>
      <c r="C450" t="s">
        <v>3927</v>
      </c>
      <c r="D450" t="s">
        <v>3928</v>
      </c>
      <c r="E450" t="s">
        <v>3929</v>
      </c>
      <c r="F450" t="s">
        <v>3930</v>
      </c>
      <c r="G450" t="s">
        <v>1945</v>
      </c>
      <c r="H450" t="s">
        <v>3931</v>
      </c>
      <c r="I450" t="s">
        <v>1947</v>
      </c>
      <c r="J450" t="s">
        <v>900</v>
      </c>
    </row>
    <row r="451" spans="1:10" x14ac:dyDescent="0.25">
      <c r="A451" t="s">
        <v>902</v>
      </c>
      <c r="B451" t="s">
        <v>3932</v>
      </c>
      <c r="C451" t="s">
        <v>3933</v>
      </c>
      <c r="D451" t="s">
        <v>3934</v>
      </c>
      <c r="E451" t="s">
        <v>3935</v>
      </c>
      <c r="F451" t="s">
        <v>2207</v>
      </c>
      <c r="G451" t="s">
        <v>6210</v>
      </c>
      <c r="H451">
        <v>43610</v>
      </c>
      <c r="I451" t="s">
        <v>1947</v>
      </c>
      <c r="J451" t="s">
        <v>902</v>
      </c>
    </row>
    <row r="452" spans="1:10" x14ac:dyDescent="0.25">
      <c r="A452" t="s">
        <v>904</v>
      </c>
      <c r="B452" t="s">
        <v>3936</v>
      </c>
      <c r="C452" t="s">
        <v>3937</v>
      </c>
      <c r="D452" t="s">
        <v>3938</v>
      </c>
      <c r="E452" t="s">
        <v>3939</v>
      </c>
      <c r="F452" t="s">
        <v>3940</v>
      </c>
      <c r="G452" t="s">
        <v>1945</v>
      </c>
      <c r="H452" t="s">
        <v>3941</v>
      </c>
      <c r="I452" t="s">
        <v>1947</v>
      </c>
      <c r="J452" t="s">
        <v>904</v>
      </c>
    </row>
    <row r="453" spans="1:10" x14ac:dyDescent="0.25">
      <c r="A453" t="s">
        <v>906</v>
      </c>
      <c r="B453" t="s">
        <v>3942</v>
      </c>
      <c r="C453" t="s">
        <v>3943</v>
      </c>
      <c r="D453" t="s">
        <v>3944</v>
      </c>
      <c r="E453" t="s">
        <v>3945</v>
      </c>
      <c r="F453" t="s">
        <v>2296</v>
      </c>
      <c r="G453" t="s">
        <v>6210</v>
      </c>
      <c r="H453">
        <v>28210</v>
      </c>
      <c r="I453" t="s">
        <v>1938</v>
      </c>
      <c r="J453" t="s">
        <v>906</v>
      </c>
    </row>
    <row r="454" spans="1:10" x14ac:dyDescent="0.25">
      <c r="A454" t="s">
        <v>880</v>
      </c>
      <c r="B454" t="s">
        <v>3946</v>
      </c>
      <c r="C454" t="s">
        <v>3947</v>
      </c>
      <c r="D454" t="s">
        <v>3948</v>
      </c>
      <c r="E454" t="s">
        <v>3949</v>
      </c>
      <c r="F454" t="s">
        <v>3487</v>
      </c>
      <c r="G454" t="s">
        <v>6210</v>
      </c>
      <c r="H454">
        <v>98109</v>
      </c>
      <c r="I454" t="s">
        <v>1947</v>
      </c>
      <c r="J454" t="s">
        <v>880</v>
      </c>
    </row>
    <row r="455" spans="1:10" x14ac:dyDescent="0.25">
      <c r="A455" t="s">
        <v>909</v>
      </c>
      <c r="B455" t="s">
        <v>3950</v>
      </c>
      <c r="C455" t="s">
        <v>3951</v>
      </c>
      <c r="D455" t="s">
        <v>3952</v>
      </c>
      <c r="E455" t="s">
        <v>3953</v>
      </c>
      <c r="F455" t="s">
        <v>2999</v>
      </c>
      <c r="G455" t="s">
        <v>6210</v>
      </c>
      <c r="H455">
        <v>18706</v>
      </c>
      <c r="I455" t="s">
        <v>1947</v>
      </c>
      <c r="J455" t="s">
        <v>909</v>
      </c>
    </row>
    <row r="456" spans="1:10" x14ac:dyDescent="0.25">
      <c r="A456" t="s">
        <v>911</v>
      </c>
      <c r="B456" t="s">
        <v>3954</v>
      </c>
      <c r="C456" t="s">
        <v>3955</v>
      </c>
      <c r="E456" t="s">
        <v>3956</v>
      </c>
      <c r="F456" t="s">
        <v>3957</v>
      </c>
      <c r="G456" t="s">
        <v>1945</v>
      </c>
      <c r="H456" t="s">
        <v>1946</v>
      </c>
      <c r="I456" t="s">
        <v>1938</v>
      </c>
      <c r="J456" t="s">
        <v>911</v>
      </c>
    </row>
    <row r="457" spans="1:10" x14ac:dyDescent="0.25">
      <c r="A457" t="s">
        <v>913</v>
      </c>
      <c r="B457" t="s">
        <v>3958</v>
      </c>
      <c r="C457" t="s">
        <v>3959</v>
      </c>
      <c r="D457" t="s">
        <v>3960</v>
      </c>
      <c r="E457" t="s">
        <v>3961</v>
      </c>
      <c r="F457" t="s">
        <v>3962</v>
      </c>
      <c r="G457" t="s">
        <v>1945</v>
      </c>
      <c r="H457" t="s">
        <v>2766</v>
      </c>
      <c r="I457" t="s">
        <v>1938</v>
      </c>
      <c r="J457" t="s">
        <v>913</v>
      </c>
    </row>
    <row r="458" spans="1:10" x14ac:dyDescent="0.25">
      <c r="A458" t="s">
        <v>915</v>
      </c>
      <c r="B458" t="s">
        <v>3963</v>
      </c>
      <c r="C458" t="s">
        <v>3964</v>
      </c>
      <c r="D458" t="s">
        <v>3965</v>
      </c>
      <c r="E458" t="s">
        <v>3966</v>
      </c>
      <c r="F458" t="s">
        <v>2277</v>
      </c>
      <c r="G458" t="s">
        <v>2112</v>
      </c>
      <c r="H458" t="s">
        <v>3967</v>
      </c>
      <c r="I458" t="s">
        <v>1947</v>
      </c>
      <c r="J458" t="s">
        <v>915</v>
      </c>
    </row>
    <row r="459" spans="1:10" x14ac:dyDescent="0.25">
      <c r="A459" t="s">
        <v>917</v>
      </c>
      <c r="B459" t="s">
        <v>3968</v>
      </c>
      <c r="C459" t="s">
        <v>3969</v>
      </c>
      <c r="D459" t="s">
        <v>3970</v>
      </c>
      <c r="E459" t="s">
        <v>3971</v>
      </c>
      <c r="F459" t="s">
        <v>2159</v>
      </c>
      <c r="G459" t="s">
        <v>6210</v>
      </c>
      <c r="H459">
        <v>14652</v>
      </c>
      <c r="I459" t="s">
        <v>1947</v>
      </c>
      <c r="J459" t="s">
        <v>917</v>
      </c>
    </row>
    <row r="460" spans="1:10" x14ac:dyDescent="0.25">
      <c r="A460" t="s">
        <v>919</v>
      </c>
      <c r="B460" t="s">
        <v>3972</v>
      </c>
      <c r="C460" t="s">
        <v>3973</v>
      </c>
      <c r="D460" t="s">
        <v>3974</v>
      </c>
      <c r="E460" t="s">
        <v>3975</v>
      </c>
      <c r="F460" t="s">
        <v>2136</v>
      </c>
      <c r="G460" t="s">
        <v>6210</v>
      </c>
      <c r="H460">
        <v>85754</v>
      </c>
      <c r="I460" t="s">
        <v>1947</v>
      </c>
      <c r="J460" t="s">
        <v>919</v>
      </c>
    </row>
    <row r="461" spans="1:10" x14ac:dyDescent="0.25">
      <c r="A461" t="s">
        <v>921</v>
      </c>
      <c r="B461" t="s">
        <v>3976</v>
      </c>
      <c r="C461" t="s">
        <v>3977</v>
      </c>
      <c r="D461" t="s">
        <v>3978</v>
      </c>
      <c r="E461" t="s">
        <v>3979</v>
      </c>
      <c r="F461" t="s">
        <v>2133</v>
      </c>
      <c r="G461" t="s">
        <v>6210</v>
      </c>
      <c r="H461">
        <v>55480</v>
      </c>
      <c r="I461" t="s">
        <v>1947</v>
      </c>
      <c r="J461" t="s">
        <v>921</v>
      </c>
    </row>
    <row r="462" spans="1:10" x14ac:dyDescent="0.25">
      <c r="A462" t="s">
        <v>923</v>
      </c>
      <c r="B462" t="s">
        <v>3980</v>
      </c>
      <c r="C462" t="s">
        <v>3981</v>
      </c>
      <c r="D462" t="s">
        <v>3982</v>
      </c>
      <c r="E462" t="s">
        <v>3983</v>
      </c>
      <c r="F462" t="s">
        <v>3984</v>
      </c>
      <c r="G462" t="s">
        <v>1945</v>
      </c>
      <c r="H462" t="s">
        <v>3985</v>
      </c>
      <c r="I462" t="s">
        <v>1938</v>
      </c>
      <c r="J462" t="s">
        <v>923</v>
      </c>
    </row>
    <row r="463" spans="1:10" x14ac:dyDescent="0.25">
      <c r="A463" t="s">
        <v>925</v>
      </c>
      <c r="B463" t="s">
        <v>3986</v>
      </c>
      <c r="C463" t="s">
        <v>3987</v>
      </c>
      <c r="D463" t="s">
        <v>3988</v>
      </c>
      <c r="E463" t="s">
        <v>3989</v>
      </c>
      <c r="F463" t="s">
        <v>3990</v>
      </c>
      <c r="G463" t="s">
        <v>2112</v>
      </c>
      <c r="H463" t="s">
        <v>3991</v>
      </c>
      <c r="I463" t="s">
        <v>1938</v>
      </c>
      <c r="J463" t="s">
        <v>925</v>
      </c>
    </row>
    <row r="464" spans="1:10" x14ac:dyDescent="0.25">
      <c r="A464" t="s">
        <v>927</v>
      </c>
      <c r="B464" t="s">
        <v>3992</v>
      </c>
      <c r="C464" t="s">
        <v>3993</v>
      </c>
      <c r="D464" t="s">
        <v>3994</v>
      </c>
      <c r="E464" t="s">
        <v>3995</v>
      </c>
      <c r="F464" t="s">
        <v>3044</v>
      </c>
      <c r="G464" t="s">
        <v>6210</v>
      </c>
      <c r="H464">
        <v>31119</v>
      </c>
      <c r="I464" t="s">
        <v>1938</v>
      </c>
      <c r="J464" t="s">
        <v>927</v>
      </c>
    </row>
    <row r="465" spans="1:10" x14ac:dyDescent="0.25">
      <c r="A465" t="s">
        <v>929</v>
      </c>
      <c r="B465" t="s">
        <v>3996</v>
      </c>
      <c r="C465" t="s">
        <v>3997</v>
      </c>
      <c r="D465" t="s">
        <v>3998</v>
      </c>
      <c r="E465" t="s">
        <v>3999</v>
      </c>
      <c r="F465" t="s">
        <v>4000</v>
      </c>
      <c r="G465" t="s">
        <v>1945</v>
      </c>
      <c r="H465" t="s">
        <v>4001</v>
      </c>
      <c r="I465" t="s">
        <v>1947</v>
      </c>
      <c r="J465" t="s">
        <v>929</v>
      </c>
    </row>
    <row r="466" spans="1:10" x14ac:dyDescent="0.25">
      <c r="A466" t="s">
        <v>931</v>
      </c>
      <c r="B466" t="s">
        <v>4002</v>
      </c>
      <c r="C466" t="s">
        <v>4003</v>
      </c>
      <c r="D466" t="s">
        <v>4004</v>
      </c>
      <c r="E466" t="s">
        <v>4005</v>
      </c>
      <c r="F466" t="s">
        <v>2867</v>
      </c>
      <c r="G466" t="s">
        <v>2112</v>
      </c>
      <c r="H466" t="s">
        <v>2868</v>
      </c>
      <c r="I466" t="s">
        <v>1947</v>
      </c>
      <c r="J466" t="s">
        <v>931</v>
      </c>
    </row>
    <row r="467" spans="1:10" x14ac:dyDescent="0.25">
      <c r="A467" t="s">
        <v>933</v>
      </c>
      <c r="B467" t="s">
        <v>4006</v>
      </c>
      <c r="C467" t="s">
        <v>4007</v>
      </c>
      <c r="D467" t="s">
        <v>4008</v>
      </c>
      <c r="E467" t="s">
        <v>4009</v>
      </c>
      <c r="F467" t="s">
        <v>3407</v>
      </c>
      <c r="G467" t="s">
        <v>6210</v>
      </c>
      <c r="H467">
        <v>37939</v>
      </c>
      <c r="I467" t="s">
        <v>1938</v>
      </c>
      <c r="J467" t="s">
        <v>933</v>
      </c>
    </row>
    <row r="468" spans="1:10" x14ac:dyDescent="0.25">
      <c r="A468" t="s">
        <v>935</v>
      </c>
      <c r="B468" t="s">
        <v>4010</v>
      </c>
      <c r="C468" t="s">
        <v>4011</v>
      </c>
      <c r="D468" t="s">
        <v>4012</v>
      </c>
      <c r="E468" t="s">
        <v>4013</v>
      </c>
      <c r="F468" t="s">
        <v>4014</v>
      </c>
      <c r="G468" t="s">
        <v>6210</v>
      </c>
      <c r="H468">
        <v>48604</v>
      </c>
      <c r="I468" t="s">
        <v>1938</v>
      </c>
      <c r="J468" t="s">
        <v>935</v>
      </c>
    </row>
    <row r="469" spans="1:10" x14ac:dyDescent="0.25">
      <c r="A469" t="s">
        <v>937</v>
      </c>
      <c r="B469" t="s">
        <v>4015</v>
      </c>
      <c r="C469" t="s">
        <v>4016</v>
      </c>
      <c r="D469" t="s">
        <v>4017</v>
      </c>
      <c r="E469" t="s">
        <v>4018</v>
      </c>
      <c r="F469" t="s">
        <v>4019</v>
      </c>
      <c r="G469" t="s">
        <v>6210</v>
      </c>
      <c r="H469">
        <v>32092</v>
      </c>
      <c r="I469" t="s">
        <v>1947</v>
      </c>
      <c r="J469" t="s">
        <v>937</v>
      </c>
    </row>
    <row r="470" spans="1:10" x14ac:dyDescent="0.25">
      <c r="A470" t="s">
        <v>939</v>
      </c>
      <c r="B470" t="s">
        <v>4020</v>
      </c>
      <c r="C470" t="s">
        <v>4021</v>
      </c>
      <c r="E470" t="s">
        <v>4022</v>
      </c>
      <c r="F470" t="s">
        <v>4023</v>
      </c>
      <c r="G470" t="s">
        <v>6210</v>
      </c>
      <c r="H470">
        <v>94913</v>
      </c>
      <c r="I470" t="s">
        <v>1938</v>
      </c>
      <c r="J470" t="s">
        <v>939</v>
      </c>
    </row>
    <row r="471" spans="1:10" x14ac:dyDescent="0.25">
      <c r="A471" t="s">
        <v>4024</v>
      </c>
      <c r="B471" t="s">
        <v>4025</v>
      </c>
      <c r="C471" t="s">
        <v>4026</v>
      </c>
      <c r="D471" t="s">
        <v>4027</v>
      </c>
      <c r="E471" t="s">
        <v>4028</v>
      </c>
      <c r="F471" t="s">
        <v>1991</v>
      </c>
      <c r="G471" t="s">
        <v>6210</v>
      </c>
      <c r="H471">
        <v>95113</v>
      </c>
      <c r="I471" t="s">
        <v>1938</v>
      </c>
      <c r="J471" t="s">
        <v>4024</v>
      </c>
    </row>
    <row r="472" spans="1:10" x14ac:dyDescent="0.25">
      <c r="A472" t="s">
        <v>943</v>
      </c>
      <c r="B472" t="s">
        <v>4029</v>
      </c>
      <c r="C472" t="s">
        <v>4030</v>
      </c>
      <c r="D472" t="s">
        <v>4031</v>
      </c>
      <c r="E472" t="s">
        <v>4032</v>
      </c>
      <c r="F472" t="s">
        <v>3677</v>
      </c>
      <c r="G472" t="s">
        <v>6210</v>
      </c>
      <c r="H472">
        <v>30045</v>
      </c>
      <c r="I472" t="s">
        <v>1938</v>
      </c>
      <c r="J472" t="s">
        <v>943</v>
      </c>
    </row>
    <row r="473" spans="1:10" x14ac:dyDescent="0.25">
      <c r="A473" t="s">
        <v>945</v>
      </c>
      <c r="B473" t="s">
        <v>4033</v>
      </c>
      <c r="D473" t="s">
        <v>4034</v>
      </c>
      <c r="E473" t="s">
        <v>4035</v>
      </c>
      <c r="F473" t="s">
        <v>3505</v>
      </c>
      <c r="G473" t="s">
        <v>6210</v>
      </c>
      <c r="H473">
        <v>66622</v>
      </c>
      <c r="I473" t="s">
        <v>1938</v>
      </c>
      <c r="J473" t="s">
        <v>945</v>
      </c>
    </row>
    <row r="474" spans="1:10" x14ac:dyDescent="0.25">
      <c r="A474" t="s">
        <v>947</v>
      </c>
      <c r="B474" t="s">
        <v>4036</v>
      </c>
      <c r="C474" t="s">
        <v>4037</v>
      </c>
      <c r="D474" t="s">
        <v>4038</v>
      </c>
      <c r="E474" t="s">
        <v>4039</v>
      </c>
      <c r="F474" t="s">
        <v>2983</v>
      </c>
      <c r="G474" t="s">
        <v>6210</v>
      </c>
      <c r="H474">
        <v>66276</v>
      </c>
      <c r="I474" t="s">
        <v>1947</v>
      </c>
      <c r="J474" t="s">
        <v>947</v>
      </c>
    </row>
    <row r="475" spans="1:10" x14ac:dyDescent="0.25">
      <c r="A475" t="s">
        <v>949</v>
      </c>
      <c r="B475" t="s">
        <v>4040</v>
      </c>
      <c r="C475" t="s">
        <v>4041</v>
      </c>
      <c r="D475" t="s">
        <v>4042</v>
      </c>
      <c r="E475" t="s">
        <v>4043</v>
      </c>
      <c r="F475" t="s">
        <v>3487</v>
      </c>
      <c r="G475" t="s">
        <v>6210</v>
      </c>
      <c r="H475">
        <v>98148</v>
      </c>
      <c r="I475" t="s">
        <v>1947</v>
      </c>
      <c r="J475" t="s">
        <v>949</v>
      </c>
    </row>
    <row r="476" spans="1:10" x14ac:dyDescent="0.25">
      <c r="A476" t="s">
        <v>951</v>
      </c>
      <c r="B476" t="s">
        <v>4044</v>
      </c>
      <c r="C476" t="s">
        <v>4045</v>
      </c>
      <c r="D476" t="s">
        <v>4046</v>
      </c>
      <c r="E476" t="s">
        <v>4047</v>
      </c>
      <c r="F476" t="s">
        <v>3075</v>
      </c>
      <c r="G476" t="s">
        <v>1945</v>
      </c>
      <c r="H476" t="s">
        <v>3076</v>
      </c>
      <c r="I476" t="s">
        <v>1938</v>
      </c>
      <c r="J476" t="s">
        <v>951</v>
      </c>
    </row>
    <row r="477" spans="1:10" x14ac:dyDescent="0.25">
      <c r="A477" t="s">
        <v>953</v>
      </c>
      <c r="B477" t="s">
        <v>4048</v>
      </c>
      <c r="C477" t="s">
        <v>4049</v>
      </c>
      <c r="E477" t="s">
        <v>4050</v>
      </c>
      <c r="F477" t="s">
        <v>4051</v>
      </c>
      <c r="G477" t="s">
        <v>6210</v>
      </c>
      <c r="H477">
        <v>34745</v>
      </c>
      <c r="I477" t="s">
        <v>1947</v>
      </c>
      <c r="J477" t="s">
        <v>953</v>
      </c>
    </row>
    <row r="478" spans="1:10" x14ac:dyDescent="0.25">
      <c r="A478" t="s">
        <v>955</v>
      </c>
      <c r="B478" t="s">
        <v>4052</v>
      </c>
      <c r="C478" t="s">
        <v>4053</v>
      </c>
      <c r="D478" t="s">
        <v>4054</v>
      </c>
      <c r="E478" t="s">
        <v>4055</v>
      </c>
      <c r="F478" t="s">
        <v>2159</v>
      </c>
      <c r="G478" t="s">
        <v>6210</v>
      </c>
      <c r="H478">
        <v>14683</v>
      </c>
      <c r="I478" t="s">
        <v>1938</v>
      </c>
      <c r="J478" t="s">
        <v>955</v>
      </c>
    </row>
    <row r="479" spans="1:10" x14ac:dyDescent="0.25">
      <c r="A479" t="s">
        <v>957</v>
      </c>
      <c r="B479" t="s">
        <v>4056</v>
      </c>
      <c r="C479" t="s">
        <v>4057</v>
      </c>
      <c r="D479" t="s">
        <v>4058</v>
      </c>
      <c r="E479" t="s">
        <v>4059</v>
      </c>
      <c r="F479" t="s">
        <v>3510</v>
      </c>
      <c r="G479" t="s">
        <v>6210</v>
      </c>
      <c r="H479">
        <v>75799</v>
      </c>
      <c r="I479" t="s">
        <v>1947</v>
      </c>
      <c r="J479" t="s">
        <v>957</v>
      </c>
    </row>
    <row r="480" spans="1:10" x14ac:dyDescent="0.25">
      <c r="A480" t="s">
        <v>941</v>
      </c>
      <c r="B480" t="s">
        <v>4060</v>
      </c>
      <c r="C480" t="s">
        <v>4061</v>
      </c>
      <c r="D480" t="s">
        <v>4062</v>
      </c>
      <c r="E480" t="s">
        <v>4063</v>
      </c>
      <c r="F480" t="s">
        <v>4064</v>
      </c>
      <c r="G480" t="s">
        <v>6210</v>
      </c>
      <c r="H480">
        <v>11388</v>
      </c>
      <c r="I480" t="s">
        <v>1938</v>
      </c>
      <c r="J480" t="s">
        <v>941</v>
      </c>
    </row>
    <row r="481" spans="1:10" x14ac:dyDescent="0.25">
      <c r="A481" t="s">
        <v>4065</v>
      </c>
      <c r="B481" t="s">
        <v>4066</v>
      </c>
      <c r="D481" t="s">
        <v>4067</v>
      </c>
      <c r="E481" t="s">
        <v>4068</v>
      </c>
      <c r="F481" t="s">
        <v>4069</v>
      </c>
      <c r="G481" t="s">
        <v>6210</v>
      </c>
      <c r="H481">
        <v>20167</v>
      </c>
      <c r="I481" t="s">
        <v>1938</v>
      </c>
      <c r="J481" t="s">
        <v>4065</v>
      </c>
    </row>
    <row r="482" spans="1:10" x14ac:dyDescent="0.25">
      <c r="A482" t="s">
        <v>4070</v>
      </c>
      <c r="B482" t="s">
        <v>4071</v>
      </c>
      <c r="C482" t="s">
        <v>4072</v>
      </c>
      <c r="D482" t="s">
        <v>4073</v>
      </c>
      <c r="E482" t="s">
        <v>4074</v>
      </c>
      <c r="F482" t="s">
        <v>2000</v>
      </c>
      <c r="G482" t="s">
        <v>6210</v>
      </c>
      <c r="H482">
        <v>23203</v>
      </c>
      <c r="I482" t="s">
        <v>1947</v>
      </c>
      <c r="J482" t="s">
        <v>4070</v>
      </c>
    </row>
    <row r="483" spans="1:10" x14ac:dyDescent="0.25">
      <c r="A483" t="s">
        <v>960</v>
      </c>
      <c r="B483" t="s">
        <v>4075</v>
      </c>
      <c r="C483" t="s">
        <v>4076</v>
      </c>
      <c r="D483" t="s">
        <v>4077</v>
      </c>
      <c r="E483" t="s">
        <v>4078</v>
      </c>
      <c r="F483" t="s">
        <v>4079</v>
      </c>
      <c r="G483" t="s">
        <v>2112</v>
      </c>
      <c r="H483" t="s">
        <v>2389</v>
      </c>
      <c r="I483" t="s">
        <v>1947</v>
      </c>
      <c r="J483" t="s">
        <v>960</v>
      </c>
    </row>
    <row r="484" spans="1:10" x14ac:dyDescent="0.25">
      <c r="A484" t="s">
        <v>962</v>
      </c>
      <c r="B484" t="s">
        <v>4080</v>
      </c>
      <c r="C484" t="s">
        <v>4081</v>
      </c>
      <c r="D484" t="s">
        <v>4082</v>
      </c>
      <c r="E484" t="s">
        <v>4083</v>
      </c>
      <c r="F484" t="s">
        <v>2695</v>
      </c>
      <c r="G484" t="s">
        <v>6210</v>
      </c>
      <c r="H484">
        <v>22309</v>
      </c>
      <c r="I484" t="s">
        <v>1938</v>
      </c>
      <c r="J484" t="s">
        <v>962</v>
      </c>
    </row>
    <row r="485" spans="1:10" x14ac:dyDescent="0.25">
      <c r="A485" t="s">
        <v>964</v>
      </c>
      <c r="B485" t="s">
        <v>4084</v>
      </c>
      <c r="D485" t="s">
        <v>4085</v>
      </c>
      <c r="E485" t="s">
        <v>4086</v>
      </c>
      <c r="F485" t="s">
        <v>2933</v>
      </c>
      <c r="G485" t="s">
        <v>6210</v>
      </c>
      <c r="H485">
        <v>84115</v>
      </c>
      <c r="I485" t="s">
        <v>1938</v>
      </c>
      <c r="J485" t="s">
        <v>964</v>
      </c>
    </row>
    <row r="486" spans="1:10" x14ac:dyDescent="0.25">
      <c r="A486" t="s">
        <v>966</v>
      </c>
      <c r="B486" t="s">
        <v>4087</v>
      </c>
      <c r="C486" t="s">
        <v>4088</v>
      </c>
      <c r="E486" t="s">
        <v>4089</v>
      </c>
      <c r="F486" t="s">
        <v>1991</v>
      </c>
      <c r="G486" t="s">
        <v>6210</v>
      </c>
      <c r="H486">
        <v>95108</v>
      </c>
      <c r="I486" t="s">
        <v>1947</v>
      </c>
      <c r="J486" t="s">
        <v>966</v>
      </c>
    </row>
    <row r="487" spans="1:10" x14ac:dyDescent="0.25">
      <c r="A487" t="s">
        <v>968</v>
      </c>
      <c r="B487" t="s">
        <v>4090</v>
      </c>
      <c r="C487" t="s">
        <v>4091</v>
      </c>
      <c r="D487" t="s">
        <v>4092</v>
      </c>
      <c r="E487" t="s">
        <v>4093</v>
      </c>
      <c r="F487" t="s">
        <v>4094</v>
      </c>
      <c r="G487" t="s">
        <v>1945</v>
      </c>
      <c r="H487" t="s">
        <v>4095</v>
      </c>
      <c r="I487" t="s">
        <v>1938</v>
      </c>
      <c r="J487" t="s">
        <v>968</v>
      </c>
    </row>
    <row r="488" spans="1:10" x14ac:dyDescent="0.25">
      <c r="A488" t="s">
        <v>970</v>
      </c>
      <c r="B488" t="s">
        <v>4096</v>
      </c>
      <c r="C488" t="s">
        <v>4097</v>
      </c>
      <c r="D488" t="s">
        <v>4098</v>
      </c>
      <c r="E488" t="s">
        <v>4099</v>
      </c>
      <c r="F488" t="s">
        <v>4100</v>
      </c>
      <c r="G488" t="s">
        <v>1945</v>
      </c>
      <c r="H488" t="s">
        <v>2541</v>
      </c>
      <c r="I488" t="s">
        <v>1938</v>
      </c>
      <c r="J488" t="s">
        <v>970</v>
      </c>
    </row>
    <row r="489" spans="1:10" x14ac:dyDescent="0.25">
      <c r="A489" t="s">
        <v>972</v>
      </c>
      <c r="B489" t="s">
        <v>4101</v>
      </c>
      <c r="C489" t="s">
        <v>4102</v>
      </c>
      <c r="D489" t="s">
        <v>4103</v>
      </c>
      <c r="E489" t="s">
        <v>4104</v>
      </c>
      <c r="F489" t="s">
        <v>4100</v>
      </c>
      <c r="G489" t="s">
        <v>1945</v>
      </c>
      <c r="H489" t="s">
        <v>2541</v>
      </c>
      <c r="I489" t="s">
        <v>1947</v>
      </c>
      <c r="J489" t="s">
        <v>972</v>
      </c>
    </row>
    <row r="490" spans="1:10" x14ac:dyDescent="0.25">
      <c r="A490" t="s">
        <v>974</v>
      </c>
      <c r="B490" t="s">
        <v>4105</v>
      </c>
      <c r="C490" t="s">
        <v>4106</v>
      </c>
      <c r="D490" t="s">
        <v>4107</v>
      </c>
      <c r="E490" t="s">
        <v>4108</v>
      </c>
      <c r="F490" t="s">
        <v>4109</v>
      </c>
      <c r="G490" t="s">
        <v>1945</v>
      </c>
      <c r="H490" t="s">
        <v>2850</v>
      </c>
      <c r="I490" t="s">
        <v>1938</v>
      </c>
      <c r="J490" t="s">
        <v>974</v>
      </c>
    </row>
    <row r="491" spans="1:10" x14ac:dyDescent="0.25">
      <c r="A491" t="s">
        <v>976</v>
      </c>
      <c r="B491" t="s">
        <v>4110</v>
      </c>
      <c r="C491" t="s">
        <v>4111</v>
      </c>
      <c r="D491" t="s">
        <v>4112</v>
      </c>
      <c r="E491" t="s">
        <v>4113</v>
      </c>
      <c r="F491" t="s">
        <v>2444</v>
      </c>
      <c r="G491" t="s">
        <v>6210</v>
      </c>
      <c r="H491">
        <v>79945</v>
      </c>
      <c r="I491" t="s">
        <v>1947</v>
      </c>
      <c r="J491" t="s">
        <v>976</v>
      </c>
    </row>
    <row r="492" spans="1:10" x14ac:dyDescent="0.25">
      <c r="A492" t="s">
        <v>978</v>
      </c>
      <c r="B492" t="s">
        <v>4114</v>
      </c>
      <c r="C492" t="s">
        <v>4115</v>
      </c>
      <c r="D492" t="s">
        <v>4116</v>
      </c>
      <c r="E492" t="s">
        <v>4117</v>
      </c>
      <c r="F492" t="s">
        <v>2187</v>
      </c>
      <c r="G492" t="s">
        <v>6210</v>
      </c>
      <c r="H492">
        <v>33355</v>
      </c>
      <c r="I492" t="s">
        <v>1947</v>
      </c>
      <c r="J492" t="s">
        <v>978</v>
      </c>
    </row>
    <row r="493" spans="1:10" x14ac:dyDescent="0.25">
      <c r="A493" t="s">
        <v>980</v>
      </c>
      <c r="B493" t="s">
        <v>4118</v>
      </c>
      <c r="D493" t="s">
        <v>4119</v>
      </c>
      <c r="E493" t="s">
        <v>4120</v>
      </c>
      <c r="F493" t="s">
        <v>3478</v>
      </c>
      <c r="G493" t="s">
        <v>6210</v>
      </c>
      <c r="H493">
        <v>46295</v>
      </c>
      <c r="I493" t="s">
        <v>1947</v>
      </c>
      <c r="J493" t="s">
        <v>980</v>
      </c>
    </row>
    <row r="494" spans="1:10" x14ac:dyDescent="0.25">
      <c r="A494" t="s">
        <v>982</v>
      </c>
      <c r="B494" t="s">
        <v>4121</v>
      </c>
      <c r="C494" t="s">
        <v>4122</v>
      </c>
      <c r="D494" t="s">
        <v>4123</v>
      </c>
      <c r="E494" t="s">
        <v>4124</v>
      </c>
      <c r="F494" t="s">
        <v>3116</v>
      </c>
      <c r="G494" t="s">
        <v>6210</v>
      </c>
      <c r="H494">
        <v>53234</v>
      </c>
      <c r="I494" t="s">
        <v>1938</v>
      </c>
      <c r="J494" t="s">
        <v>982</v>
      </c>
    </row>
    <row r="495" spans="1:10" x14ac:dyDescent="0.25">
      <c r="A495" t="s">
        <v>984</v>
      </c>
      <c r="B495" t="s">
        <v>4125</v>
      </c>
      <c r="C495" t="s">
        <v>4126</v>
      </c>
      <c r="D495" t="s">
        <v>4127</v>
      </c>
      <c r="E495" t="s">
        <v>4128</v>
      </c>
      <c r="F495" t="s">
        <v>3325</v>
      </c>
      <c r="G495" t="s">
        <v>2112</v>
      </c>
      <c r="H495" t="s">
        <v>3326</v>
      </c>
      <c r="I495" t="s">
        <v>1947</v>
      </c>
      <c r="J495" t="s">
        <v>984</v>
      </c>
    </row>
    <row r="496" spans="1:10" x14ac:dyDescent="0.25">
      <c r="A496" t="s">
        <v>986</v>
      </c>
      <c r="B496" t="s">
        <v>4129</v>
      </c>
      <c r="C496" t="s">
        <v>4130</v>
      </c>
      <c r="D496" t="s">
        <v>4131</v>
      </c>
      <c r="E496" t="s">
        <v>4132</v>
      </c>
      <c r="F496" t="s">
        <v>3065</v>
      </c>
      <c r="G496" t="s">
        <v>6210</v>
      </c>
      <c r="H496">
        <v>70836</v>
      </c>
      <c r="I496" t="s">
        <v>1947</v>
      </c>
      <c r="J496" t="s">
        <v>986</v>
      </c>
    </row>
    <row r="497" spans="1:10" x14ac:dyDescent="0.25">
      <c r="A497" t="s">
        <v>988</v>
      </c>
      <c r="B497" t="s">
        <v>4133</v>
      </c>
      <c r="D497" t="s">
        <v>4134</v>
      </c>
      <c r="E497" t="s">
        <v>4135</v>
      </c>
      <c r="F497" t="s">
        <v>3278</v>
      </c>
      <c r="G497" t="s">
        <v>6210</v>
      </c>
      <c r="H497">
        <v>6816</v>
      </c>
      <c r="I497" t="s">
        <v>1938</v>
      </c>
      <c r="J497" t="s">
        <v>988</v>
      </c>
    </row>
    <row r="498" spans="1:10" x14ac:dyDescent="0.25">
      <c r="A498" t="s">
        <v>990</v>
      </c>
      <c r="B498" t="s">
        <v>4136</v>
      </c>
      <c r="C498" t="s">
        <v>4137</v>
      </c>
      <c r="D498" t="s">
        <v>4138</v>
      </c>
      <c r="E498" t="s">
        <v>4139</v>
      </c>
      <c r="F498" t="s">
        <v>2221</v>
      </c>
      <c r="G498" t="s">
        <v>6210</v>
      </c>
      <c r="H498">
        <v>32590</v>
      </c>
      <c r="I498" t="s">
        <v>1947</v>
      </c>
      <c r="J498" t="s">
        <v>990</v>
      </c>
    </row>
    <row r="499" spans="1:10" x14ac:dyDescent="0.25">
      <c r="A499" t="s">
        <v>992</v>
      </c>
      <c r="B499" t="s">
        <v>4140</v>
      </c>
      <c r="C499" t="s">
        <v>4141</v>
      </c>
      <c r="D499" t="s">
        <v>4142</v>
      </c>
      <c r="E499" t="s">
        <v>4143</v>
      </c>
      <c r="F499" t="s">
        <v>4144</v>
      </c>
      <c r="G499" t="s">
        <v>1945</v>
      </c>
      <c r="H499" t="s">
        <v>2079</v>
      </c>
      <c r="I499" t="s">
        <v>1947</v>
      </c>
      <c r="J499" t="s">
        <v>992</v>
      </c>
    </row>
    <row r="500" spans="1:10" x14ac:dyDescent="0.25">
      <c r="A500" t="s">
        <v>4145</v>
      </c>
      <c r="B500" t="s">
        <v>4146</v>
      </c>
      <c r="C500" t="s">
        <v>4147</v>
      </c>
      <c r="D500" t="s">
        <v>4148</v>
      </c>
      <c r="E500" t="s">
        <v>4149</v>
      </c>
      <c r="F500" t="s">
        <v>3233</v>
      </c>
      <c r="G500" t="s">
        <v>2112</v>
      </c>
      <c r="H500" t="s">
        <v>3234</v>
      </c>
      <c r="I500" t="s">
        <v>1938</v>
      </c>
      <c r="J500" t="s">
        <v>4145</v>
      </c>
    </row>
    <row r="501" spans="1:10" x14ac:dyDescent="0.25">
      <c r="A501" t="s">
        <v>996</v>
      </c>
      <c r="B501" t="s">
        <v>4150</v>
      </c>
      <c r="D501" t="s">
        <v>4151</v>
      </c>
      <c r="E501" t="s">
        <v>4152</v>
      </c>
      <c r="F501" t="s">
        <v>2928</v>
      </c>
      <c r="G501" t="s">
        <v>1945</v>
      </c>
      <c r="H501" t="s">
        <v>2079</v>
      </c>
      <c r="I501" t="s">
        <v>1938</v>
      </c>
      <c r="J501" t="s">
        <v>996</v>
      </c>
    </row>
    <row r="502" spans="1:10" x14ac:dyDescent="0.25">
      <c r="A502" t="s">
        <v>998</v>
      </c>
      <c r="B502" t="s">
        <v>4153</v>
      </c>
      <c r="D502" t="s">
        <v>4154</v>
      </c>
      <c r="E502" t="s">
        <v>4155</v>
      </c>
      <c r="F502" t="s">
        <v>2044</v>
      </c>
      <c r="G502" t="s">
        <v>6210</v>
      </c>
      <c r="H502">
        <v>49518</v>
      </c>
      <c r="I502" t="s">
        <v>1947</v>
      </c>
      <c r="J502" t="s">
        <v>998</v>
      </c>
    </row>
    <row r="503" spans="1:10" x14ac:dyDescent="0.25">
      <c r="A503" t="s">
        <v>1000</v>
      </c>
      <c r="B503" t="s">
        <v>4156</v>
      </c>
      <c r="C503" t="s">
        <v>4157</v>
      </c>
      <c r="D503" t="s">
        <v>4158</v>
      </c>
      <c r="E503" t="s">
        <v>4159</v>
      </c>
      <c r="F503" t="s">
        <v>3360</v>
      </c>
      <c r="G503" t="s">
        <v>2112</v>
      </c>
      <c r="H503" t="s">
        <v>3361</v>
      </c>
      <c r="I503" t="s">
        <v>1947</v>
      </c>
      <c r="J503" t="s">
        <v>1000</v>
      </c>
    </row>
    <row r="504" spans="1:10" x14ac:dyDescent="0.25">
      <c r="A504" t="s">
        <v>4160</v>
      </c>
      <c r="B504" t="s">
        <v>4161</v>
      </c>
      <c r="C504" t="s">
        <v>4162</v>
      </c>
      <c r="D504" t="s">
        <v>4163</v>
      </c>
      <c r="E504" t="s">
        <v>4164</v>
      </c>
      <c r="F504" t="s">
        <v>2371</v>
      </c>
      <c r="G504" t="s">
        <v>6210</v>
      </c>
      <c r="H504">
        <v>66160</v>
      </c>
      <c r="I504" t="s">
        <v>1947</v>
      </c>
      <c r="J504" t="s">
        <v>4160</v>
      </c>
    </row>
    <row r="505" spans="1:10" x14ac:dyDescent="0.25">
      <c r="A505" t="s">
        <v>4165</v>
      </c>
      <c r="B505" t="s">
        <v>4166</v>
      </c>
      <c r="D505" t="s">
        <v>4167</v>
      </c>
      <c r="E505" t="s">
        <v>4168</v>
      </c>
      <c r="F505" t="s">
        <v>4169</v>
      </c>
      <c r="G505" t="s">
        <v>6210</v>
      </c>
      <c r="H505">
        <v>14905</v>
      </c>
      <c r="I505" t="s">
        <v>1947</v>
      </c>
      <c r="J505" t="s">
        <v>4165</v>
      </c>
    </row>
    <row r="506" spans="1:10" x14ac:dyDescent="0.25">
      <c r="A506" t="s">
        <v>4170</v>
      </c>
      <c r="B506" t="s">
        <v>4171</v>
      </c>
      <c r="C506" t="s">
        <v>4172</v>
      </c>
      <c r="D506" t="s">
        <v>4173</v>
      </c>
      <c r="E506" t="s">
        <v>4174</v>
      </c>
      <c r="F506" t="s">
        <v>3116</v>
      </c>
      <c r="G506" t="s">
        <v>6210</v>
      </c>
      <c r="H506">
        <v>53205</v>
      </c>
      <c r="I506" t="s">
        <v>1938</v>
      </c>
      <c r="J506" t="s">
        <v>4170</v>
      </c>
    </row>
    <row r="507" spans="1:10" x14ac:dyDescent="0.25">
      <c r="A507" t="s">
        <v>1002</v>
      </c>
      <c r="B507" t="s">
        <v>4175</v>
      </c>
      <c r="C507" t="s">
        <v>4176</v>
      </c>
      <c r="D507" t="s">
        <v>4177</v>
      </c>
      <c r="E507" t="s">
        <v>4178</v>
      </c>
      <c r="F507" t="s">
        <v>4179</v>
      </c>
      <c r="G507" t="s">
        <v>6210</v>
      </c>
      <c r="H507">
        <v>27264</v>
      </c>
      <c r="I507" t="s">
        <v>1947</v>
      </c>
      <c r="J507" t="s">
        <v>1002</v>
      </c>
    </row>
    <row r="508" spans="1:10" x14ac:dyDescent="0.25">
      <c r="A508" t="s">
        <v>1004</v>
      </c>
      <c r="B508" t="s">
        <v>4180</v>
      </c>
      <c r="C508" t="s">
        <v>4181</v>
      </c>
      <c r="D508" t="s">
        <v>4182</v>
      </c>
      <c r="E508" t="s">
        <v>4183</v>
      </c>
      <c r="F508" t="s">
        <v>2444</v>
      </c>
      <c r="G508" t="s">
        <v>6210</v>
      </c>
      <c r="H508">
        <v>88546</v>
      </c>
      <c r="I508" t="s">
        <v>1938</v>
      </c>
      <c r="J508" t="s">
        <v>1004</v>
      </c>
    </row>
    <row r="509" spans="1:10" x14ac:dyDescent="0.25">
      <c r="A509" t="s">
        <v>1006</v>
      </c>
      <c r="B509" t="s">
        <v>4184</v>
      </c>
      <c r="C509" t="s">
        <v>4185</v>
      </c>
      <c r="D509" t="s">
        <v>4186</v>
      </c>
      <c r="E509" t="s">
        <v>4187</v>
      </c>
      <c r="F509" t="s">
        <v>4188</v>
      </c>
      <c r="G509" t="s">
        <v>6210</v>
      </c>
      <c r="H509">
        <v>44185</v>
      </c>
      <c r="I509" t="s">
        <v>1938</v>
      </c>
      <c r="J509" t="s">
        <v>1006</v>
      </c>
    </row>
    <row r="510" spans="1:10" x14ac:dyDescent="0.25">
      <c r="A510" t="s">
        <v>1008</v>
      </c>
      <c r="B510" t="s">
        <v>4189</v>
      </c>
      <c r="C510" t="s">
        <v>4190</v>
      </c>
      <c r="D510" t="s">
        <v>4191</v>
      </c>
      <c r="E510" t="s">
        <v>4192</v>
      </c>
      <c r="F510" t="s">
        <v>4193</v>
      </c>
      <c r="G510" t="s">
        <v>1945</v>
      </c>
      <c r="H510" t="s">
        <v>4194</v>
      </c>
      <c r="I510" t="s">
        <v>1947</v>
      </c>
      <c r="J510" t="s">
        <v>1008</v>
      </c>
    </row>
    <row r="511" spans="1:10" x14ac:dyDescent="0.25">
      <c r="A511" t="s">
        <v>994</v>
      </c>
      <c r="B511" t="s">
        <v>4195</v>
      </c>
      <c r="C511" t="s">
        <v>4196</v>
      </c>
      <c r="D511" t="s">
        <v>4197</v>
      </c>
      <c r="E511" t="s">
        <v>4198</v>
      </c>
      <c r="F511" t="s">
        <v>4199</v>
      </c>
      <c r="G511" t="s">
        <v>1945</v>
      </c>
      <c r="H511" t="s">
        <v>4200</v>
      </c>
      <c r="I511" t="s">
        <v>1938</v>
      </c>
      <c r="J511" t="s">
        <v>994</v>
      </c>
    </row>
    <row r="512" spans="1:10" x14ac:dyDescent="0.25">
      <c r="A512" t="s">
        <v>1011</v>
      </c>
      <c r="B512" t="s">
        <v>4201</v>
      </c>
      <c r="C512" t="s">
        <v>4202</v>
      </c>
      <c r="D512" t="s">
        <v>4203</v>
      </c>
      <c r="E512" t="s">
        <v>4204</v>
      </c>
      <c r="F512" t="s">
        <v>3744</v>
      </c>
      <c r="G512" t="s">
        <v>1945</v>
      </c>
      <c r="H512" t="s">
        <v>3745</v>
      </c>
      <c r="I512" t="s">
        <v>1938</v>
      </c>
      <c r="J512" t="s">
        <v>1011</v>
      </c>
    </row>
    <row r="513" spans="1:10" x14ac:dyDescent="0.25">
      <c r="A513" t="s">
        <v>1013</v>
      </c>
      <c r="B513" t="s">
        <v>4205</v>
      </c>
      <c r="C513" t="s">
        <v>4206</v>
      </c>
      <c r="D513" t="s">
        <v>4207</v>
      </c>
      <c r="E513" t="s">
        <v>4208</v>
      </c>
      <c r="F513" t="s">
        <v>2168</v>
      </c>
      <c r="G513" t="s">
        <v>6210</v>
      </c>
      <c r="H513">
        <v>35244</v>
      </c>
      <c r="I513" t="s">
        <v>1938</v>
      </c>
      <c r="J513" t="s">
        <v>1013</v>
      </c>
    </row>
    <row r="514" spans="1:10" x14ac:dyDescent="0.25">
      <c r="A514" t="s">
        <v>1015</v>
      </c>
      <c r="B514" t="s">
        <v>4209</v>
      </c>
      <c r="C514" t="s">
        <v>4210</v>
      </c>
      <c r="D514" t="s">
        <v>4211</v>
      </c>
      <c r="E514" t="s">
        <v>4212</v>
      </c>
      <c r="F514" t="s">
        <v>4213</v>
      </c>
      <c r="G514" t="s">
        <v>6210</v>
      </c>
      <c r="H514">
        <v>56372</v>
      </c>
      <c r="I514" t="s">
        <v>1947</v>
      </c>
      <c r="J514" t="s">
        <v>1015</v>
      </c>
    </row>
    <row r="515" spans="1:10" x14ac:dyDescent="0.25">
      <c r="A515" t="s">
        <v>1017</v>
      </c>
      <c r="B515" t="s">
        <v>4214</v>
      </c>
      <c r="C515" t="s">
        <v>4215</v>
      </c>
      <c r="E515" t="s">
        <v>4216</v>
      </c>
      <c r="F515" t="s">
        <v>2013</v>
      </c>
      <c r="G515" t="s">
        <v>6210</v>
      </c>
      <c r="H515">
        <v>19191</v>
      </c>
      <c r="I515" t="s">
        <v>1947</v>
      </c>
      <c r="J515" t="s">
        <v>1017</v>
      </c>
    </row>
    <row r="516" spans="1:10" x14ac:dyDescent="0.25">
      <c r="A516" t="s">
        <v>1019</v>
      </c>
      <c r="B516" t="s">
        <v>4217</v>
      </c>
      <c r="C516" t="s">
        <v>4218</v>
      </c>
      <c r="D516" t="s">
        <v>4219</v>
      </c>
      <c r="E516" t="s">
        <v>4220</v>
      </c>
      <c r="F516" t="s">
        <v>2816</v>
      </c>
      <c r="G516" t="s">
        <v>6210</v>
      </c>
      <c r="H516">
        <v>48211</v>
      </c>
      <c r="I516" t="s">
        <v>1938</v>
      </c>
      <c r="J516" t="s">
        <v>1019</v>
      </c>
    </row>
    <row r="517" spans="1:10" x14ac:dyDescent="0.25">
      <c r="A517" t="s">
        <v>1021</v>
      </c>
      <c r="B517" t="s">
        <v>4221</v>
      </c>
      <c r="C517" t="s">
        <v>4222</v>
      </c>
      <c r="D517" t="s">
        <v>4223</v>
      </c>
      <c r="E517" t="s">
        <v>4224</v>
      </c>
      <c r="F517" t="s">
        <v>2009</v>
      </c>
      <c r="G517" t="s">
        <v>6210</v>
      </c>
      <c r="H517">
        <v>63180</v>
      </c>
      <c r="I517" t="s">
        <v>1947</v>
      </c>
      <c r="J517" t="s">
        <v>1021</v>
      </c>
    </row>
    <row r="518" spans="1:10" x14ac:dyDescent="0.25">
      <c r="A518" t="s">
        <v>1023</v>
      </c>
      <c r="B518" t="s">
        <v>4225</v>
      </c>
      <c r="D518" t="s">
        <v>4226</v>
      </c>
      <c r="E518" t="s">
        <v>4227</v>
      </c>
      <c r="F518" t="s">
        <v>4228</v>
      </c>
      <c r="G518" t="s">
        <v>6210</v>
      </c>
      <c r="H518">
        <v>12305</v>
      </c>
      <c r="I518" t="s">
        <v>1938</v>
      </c>
      <c r="J518" t="s">
        <v>1023</v>
      </c>
    </row>
    <row r="519" spans="1:10" x14ac:dyDescent="0.25">
      <c r="A519" t="s">
        <v>1025</v>
      </c>
      <c r="B519" t="s">
        <v>4229</v>
      </c>
      <c r="D519" t="s">
        <v>4230</v>
      </c>
      <c r="E519" t="s">
        <v>4231</v>
      </c>
      <c r="F519" t="s">
        <v>4232</v>
      </c>
      <c r="G519" t="s">
        <v>6210</v>
      </c>
      <c r="H519">
        <v>33805</v>
      </c>
      <c r="I519" t="s">
        <v>1947</v>
      </c>
      <c r="J519" t="s">
        <v>1025</v>
      </c>
    </row>
    <row r="520" spans="1:10" x14ac:dyDescent="0.25">
      <c r="A520" t="s">
        <v>1027</v>
      </c>
      <c r="B520" t="s">
        <v>4233</v>
      </c>
      <c r="C520" t="s">
        <v>4234</v>
      </c>
      <c r="D520" t="s">
        <v>4235</v>
      </c>
      <c r="E520" t="s">
        <v>4236</v>
      </c>
      <c r="F520" t="s">
        <v>4237</v>
      </c>
      <c r="G520" t="s">
        <v>6210</v>
      </c>
      <c r="H520">
        <v>32941</v>
      </c>
      <c r="I520" t="s">
        <v>1947</v>
      </c>
      <c r="J520" t="s">
        <v>1027</v>
      </c>
    </row>
    <row r="521" spans="1:10" x14ac:dyDescent="0.25">
      <c r="A521" t="s">
        <v>4238</v>
      </c>
      <c r="B521" t="s">
        <v>4239</v>
      </c>
      <c r="C521" t="s">
        <v>4240</v>
      </c>
      <c r="D521" t="s">
        <v>4241</v>
      </c>
      <c r="E521" t="s">
        <v>4242</v>
      </c>
      <c r="F521" t="s">
        <v>2023</v>
      </c>
      <c r="G521" t="s">
        <v>6210</v>
      </c>
      <c r="H521">
        <v>77075</v>
      </c>
      <c r="I521" t="s">
        <v>1947</v>
      </c>
      <c r="J521" t="s">
        <v>4238</v>
      </c>
    </row>
    <row r="522" spans="1:10" x14ac:dyDescent="0.25">
      <c r="A522" t="s">
        <v>1030</v>
      </c>
      <c r="B522" t="s">
        <v>4243</v>
      </c>
      <c r="C522" t="s">
        <v>4244</v>
      </c>
      <c r="D522" t="s">
        <v>4245</v>
      </c>
      <c r="E522" t="s">
        <v>4246</v>
      </c>
      <c r="F522" t="s">
        <v>2140</v>
      </c>
      <c r="G522" t="s">
        <v>6210</v>
      </c>
      <c r="H522">
        <v>70179</v>
      </c>
      <c r="I522" t="s">
        <v>1947</v>
      </c>
      <c r="J522" t="s">
        <v>1030</v>
      </c>
    </row>
    <row r="523" spans="1:10" x14ac:dyDescent="0.25">
      <c r="A523" t="s">
        <v>4247</v>
      </c>
      <c r="B523" t="s">
        <v>4248</v>
      </c>
      <c r="C523" t="s">
        <v>4249</v>
      </c>
      <c r="D523" t="s">
        <v>4250</v>
      </c>
      <c r="E523" t="s">
        <v>4251</v>
      </c>
      <c r="F523" t="s">
        <v>2358</v>
      </c>
      <c r="G523" t="s">
        <v>6210</v>
      </c>
      <c r="H523">
        <v>73142</v>
      </c>
      <c r="I523" t="s">
        <v>1947</v>
      </c>
      <c r="J523" t="s">
        <v>4247</v>
      </c>
    </row>
    <row r="524" spans="1:10" x14ac:dyDescent="0.25">
      <c r="A524" t="s">
        <v>1032</v>
      </c>
      <c r="B524" t="s">
        <v>4252</v>
      </c>
      <c r="C524" t="s">
        <v>4253</v>
      </c>
      <c r="D524" t="s">
        <v>4254</v>
      </c>
      <c r="E524" t="s">
        <v>4255</v>
      </c>
      <c r="F524" t="s">
        <v>3505</v>
      </c>
      <c r="G524" t="s">
        <v>6210</v>
      </c>
      <c r="H524">
        <v>66617</v>
      </c>
      <c r="I524" t="s">
        <v>1947</v>
      </c>
      <c r="J524" t="s">
        <v>1032</v>
      </c>
    </row>
    <row r="525" spans="1:10" x14ac:dyDescent="0.25">
      <c r="A525" t="s">
        <v>1034</v>
      </c>
      <c r="B525" t="s">
        <v>4256</v>
      </c>
      <c r="C525" t="s">
        <v>4257</v>
      </c>
      <c r="D525" t="s">
        <v>4258</v>
      </c>
      <c r="E525" t="s">
        <v>4259</v>
      </c>
      <c r="F525" t="s">
        <v>4260</v>
      </c>
      <c r="G525" t="s">
        <v>1945</v>
      </c>
      <c r="H525" t="s">
        <v>3613</v>
      </c>
      <c r="I525" t="s">
        <v>1947</v>
      </c>
      <c r="J525" t="s">
        <v>1034</v>
      </c>
    </row>
    <row r="526" spans="1:10" x14ac:dyDescent="0.25">
      <c r="A526" t="s">
        <v>1036</v>
      </c>
      <c r="B526" t="s">
        <v>4261</v>
      </c>
      <c r="D526" t="s">
        <v>4262</v>
      </c>
      <c r="E526" t="s">
        <v>4263</v>
      </c>
      <c r="F526" t="s">
        <v>1958</v>
      </c>
      <c r="G526" t="s">
        <v>6210</v>
      </c>
      <c r="H526">
        <v>62723</v>
      </c>
      <c r="I526" t="s">
        <v>1947</v>
      </c>
      <c r="J526" t="s">
        <v>1036</v>
      </c>
    </row>
    <row r="527" spans="1:10" x14ac:dyDescent="0.25">
      <c r="A527" t="s">
        <v>1038</v>
      </c>
      <c r="B527" t="s">
        <v>4264</v>
      </c>
      <c r="D527" t="s">
        <v>4265</v>
      </c>
      <c r="E527" t="s">
        <v>4266</v>
      </c>
      <c r="F527" t="s">
        <v>4267</v>
      </c>
      <c r="G527" t="s">
        <v>6210</v>
      </c>
      <c r="H527">
        <v>8104</v>
      </c>
      <c r="I527" t="s">
        <v>1938</v>
      </c>
      <c r="J527" t="s">
        <v>1038</v>
      </c>
    </row>
    <row r="528" spans="1:10" x14ac:dyDescent="0.25">
      <c r="A528" t="s">
        <v>1040</v>
      </c>
      <c r="B528" t="s">
        <v>4268</v>
      </c>
      <c r="C528" t="s">
        <v>4269</v>
      </c>
      <c r="D528" t="s">
        <v>4270</v>
      </c>
      <c r="E528" t="s">
        <v>4271</v>
      </c>
      <c r="F528" t="s">
        <v>3487</v>
      </c>
      <c r="G528" t="s">
        <v>6210</v>
      </c>
      <c r="H528">
        <v>98185</v>
      </c>
      <c r="I528" t="s">
        <v>1938</v>
      </c>
      <c r="J528" t="s">
        <v>1040</v>
      </c>
    </row>
    <row r="529" spans="1:10" x14ac:dyDescent="0.25">
      <c r="A529" t="s">
        <v>1042</v>
      </c>
      <c r="B529" t="s">
        <v>4272</v>
      </c>
      <c r="C529" t="s">
        <v>4273</v>
      </c>
      <c r="D529" t="s">
        <v>4274</v>
      </c>
      <c r="E529" t="s">
        <v>4275</v>
      </c>
      <c r="F529" t="s">
        <v>2238</v>
      </c>
      <c r="G529" t="s">
        <v>2112</v>
      </c>
      <c r="H529" t="s">
        <v>2239</v>
      </c>
      <c r="I529" t="s">
        <v>1947</v>
      </c>
      <c r="J529" t="s">
        <v>1042</v>
      </c>
    </row>
    <row r="530" spans="1:10" x14ac:dyDescent="0.25">
      <c r="A530" t="s">
        <v>1044</v>
      </c>
      <c r="B530" t="s">
        <v>4276</v>
      </c>
      <c r="C530" t="s">
        <v>4277</v>
      </c>
      <c r="D530" t="s">
        <v>4278</v>
      </c>
      <c r="E530" t="s">
        <v>4279</v>
      </c>
      <c r="F530" t="s">
        <v>4280</v>
      </c>
      <c r="G530" t="s">
        <v>6210</v>
      </c>
      <c r="H530">
        <v>76711</v>
      </c>
      <c r="I530" t="s">
        <v>1947</v>
      </c>
      <c r="J530" t="s">
        <v>1044</v>
      </c>
    </row>
    <row r="531" spans="1:10" x14ac:dyDescent="0.25">
      <c r="A531" t="s">
        <v>1046</v>
      </c>
      <c r="B531" t="s">
        <v>4281</v>
      </c>
      <c r="C531" t="s">
        <v>4282</v>
      </c>
      <c r="D531" t="s">
        <v>4283</v>
      </c>
      <c r="E531" t="s">
        <v>4284</v>
      </c>
      <c r="F531" t="s">
        <v>2000</v>
      </c>
      <c r="G531" t="s">
        <v>6210</v>
      </c>
      <c r="H531">
        <v>23242</v>
      </c>
      <c r="I531" t="s">
        <v>1947</v>
      </c>
      <c r="J531" t="s">
        <v>1046</v>
      </c>
    </row>
    <row r="532" spans="1:10" x14ac:dyDescent="0.25">
      <c r="A532" t="s">
        <v>1048</v>
      </c>
      <c r="B532" t="s">
        <v>4285</v>
      </c>
      <c r="C532" t="s">
        <v>4286</v>
      </c>
      <c r="D532" t="s">
        <v>4287</v>
      </c>
      <c r="E532" t="s">
        <v>4288</v>
      </c>
      <c r="F532" t="s">
        <v>2207</v>
      </c>
      <c r="G532" t="s">
        <v>6210</v>
      </c>
      <c r="H532">
        <v>43610</v>
      </c>
      <c r="I532" t="s">
        <v>1947</v>
      </c>
      <c r="J532" t="s">
        <v>1048</v>
      </c>
    </row>
    <row r="533" spans="1:10" x14ac:dyDescent="0.25">
      <c r="A533" t="s">
        <v>1050</v>
      </c>
      <c r="B533" t="s">
        <v>4289</v>
      </c>
      <c r="C533" t="s">
        <v>4290</v>
      </c>
      <c r="D533" t="s">
        <v>4291</v>
      </c>
      <c r="E533" t="s">
        <v>4292</v>
      </c>
      <c r="F533" t="s">
        <v>2477</v>
      </c>
      <c r="G533" t="s">
        <v>6210</v>
      </c>
      <c r="H533">
        <v>25705</v>
      </c>
      <c r="I533" t="s">
        <v>1947</v>
      </c>
      <c r="J533" t="s">
        <v>1050</v>
      </c>
    </row>
    <row r="534" spans="1:10" x14ac:dyDescent="0.25">
      <c r="A534" t="s">
        <v>1052</v>
      </c>
      <c r="B534" t="s">
        <v>4293</v>
      </c>
      <c r="C534" t="s">
        <v>4294</v>
      </c>
      <c r="D534" t="s">
        <v>4295</v>
      </c>
      <c r="E534" t="s">
        <v>4296</v>
      </c>
      <c r="F534" t="s">
        <v>4297</v>
      </c>
      <c r="G534" t="s">
        <v>6210</v>
      </c>
      <c r="H534">
        <v>33884</v>
      </c>
      <c r="I534" t="s">
        <v>1938</v>
      </c>
      <c r="J534" t="s">
        <v>1052</v>
      </c>
    </row>
    <row r="535" spans="1:10" x14ac:dyDescent="0.25">
      <c r="A535" t="s">
        <v>1054</v>
      </c>
      <c r="B535" t="s">
        <v>4298</v>
      </c>
      <c r="D535" t="s">
        <v>4299</v>
      </c>
      <c r="E535" t="s">
        <v>4300</v>
      </c>
      <c r="F535" t="s">
        <v>2321</v>
      </c>
      <c r="G535" t="s">
        <v>6210</v>
      </c>
      <c r="H535">
        <v>75323</v>
      </c>
      <c r="I535" t="s">
        <v>1947</v>
      </c>
      <c r="J535" t="s">
        <v>1054</v>
      </c>
    </row>
    <row r="536" spans="1:10" x14ac:dyDescent="0.25">
      <c r="A536" t="s">
        <v>1056</v>
      </c>
      <c r="B536" t="s">
        <v>4301</v>
      </c>
      <c r="C536" t="s">
        <v>4302</v>
      </c>
      <c r="D536" t="s">
        <v>4303</v>
      </c>
      <c r="E536" t="s">
        <v>4304</v>
      </c>
      <c r="F536" t="s">
        <v>2341</v>
      </c>
      <c r="G536" t="s">
        <v>1945</v>
      </c>
      <c r="H536" t="s">
        <v>2342</v>
      </c>
      <c r="I536" t="s">
        <v>1938</v>
      </c>
      <c r="J536" t="s">
        <v>1056</v>
      </c>
    </row>
    <row r="537" spans="1:10" x14ac:dyDescent="0.25">
      <c r="A537" t="s">
        <v>1058</v>
      </c>
      <c r="B537" t="s">
        <v>4305</v>
      </c>
      <c r="D537" t="s">
        <v>4306</v>
      </c>
      <c r="E537" t="s">
        <v>4307</v>
      </c>
      <c r="F537" t="s">
        <v>2596</v>
      </c>
      <c r="G537" t="s">
        <v>1945</v>
      </c>
      <c r="H537" t="s">
        <v>2541</v>
      </c>
      <c r="I537" t="s">
        <v>1947</v>
      </c>
      <c r="J537" t="s">
        <v>1058</v>
      </c>
    </row>
    <row r="538" spans="1:10" x14ac:dyDescent="0.25">
      <c r="A538" t="s">
        <v>4308</v>
      </c>
      <c r="B538" t="s">
        <v>4309</v>
      </c>
      <c r="C538" t="s">
        <v>4310</v>
      </c>
      <c r="D538" t="s">
        <v>4311</v>
      </c>
      <c r="E538" t="s">
        <v>4312</v>
      </c>
      <c r="F538" t="s">
        <v>2283</v>
      </c>
      <c r="G538" t="s">
        <v>6210</v>
      </c>
      <c r="H538">
        <v>43231</v>
      </c>
      <c r="I538" t="s">
        <v>1947</v>
      </c>
      <c r="J538" t="s">
        <v>4308</v>
      </c>
    </row>
    <row r="539" spans="1:10" x14ac:dyDescent="0.25">
      <c r="A539" t="s">
        <v>1061</v>
      </c>
      <c r="B539" t="s">
        <v>4313</v>
      </c>
      <c r="C539" t="s">
        <v>4314</v>
      </c>
      <c r="E539" t="s">
        <v>4315</v>
      </c>
      <c r="F539" t="s">
        <v>2551</v>
      </c>
      <c r="G539" t="s">
        <v>6210</v>
      </c>
      <c r="H539">
        <v>47747</v>
      </c>
      <c r="I539" t="s">
        <v>1938</v>
      </c>
      <c r="J539" t="s">
        <v>1061</v>
      </c>
    </row>
    <row r="540" spans="1:10" x14ac:dyDescent="0.25">
      <c r="A540" t="s">
        <v>1063</v>
      </c>
      <c r="B540" t="s">
        <v>4316</v>
      </c>
      <c r="C540" t="s">
        <v>4317</v>
      </c>
      <c r="E540" t="s">
        <v>4318</v>
      </c>
      <c r="F540" t="s">
        <v>4319</v>
      </c>
      <c r="G540" t="s">
        <v>6210</v>
      </c>
      <c r="H540">
        <v>60567</v>
      </c>
      <c r="I540" t="s">
        <v>1938</v>
      </c>
      <c r="J540" t="s">
        <v>1063</v>
      </c>
    </row>
    <row r="541" spans="1:10" x14ac:dyDescent="0.25">
      <c r="A541" t="s">
        <v>1065</v>
      </c>
      <c r="B541" t="s">
        <v>4320</v>
      </c>
      <c r="C541" t="s">
        <v>4321</v>
      </c>
      <c r="E541" t="s">
        <v>4322</v>
      </c>
      <c r="F541" t="s">
        <v>2118</v>
      </c>
      <c r="G541" t="s">
        <v>6210</v>
      </c>
      <c r="H541">
        <v>29424</v>
      </c>
      <c r="I541" t="s">
        <v>1947</v>
      </c>
      <c r="J541" t="s">
        <v>1065</v>
      </c>
    </row>
    <row r="542" spans="1:10" x14ac:dyDescent="0.25">
      <c r="A542" t="s">
        <v>1067</v>
      </c>
      <c r="B542" t="s">
        <v>4323</v>
      </c>
      <c r="C542" t="s">
        <v>4324</v>
      </c>
      <c r="D542" t="s">
        <v>4325</v>
      </c>
      <c r="E542" t="s">
        <v>4326</v>
      </c>
      <c r="F542" t="s">
        <v>2795</v>
      </c>
      <c r="G542" t="s">
        <v>6210</v>
      </c>
      <c r="H542">
        <v>48930</v>
      </c>
      <c r="I542" t="s">
        <v>1938</v>
      </c>
      <c r="J542" t="s">
        <v>1067</v>
      </c>
    </row>
    <row r="543" spans="1:10" x14ac:dyDescent="0.25">
      <c r="A543" t="s">
        <v>1069</v>
      </c>
      <c r="B543" t="s">
        <v>4327</v>
      </c>
      <c r="D543" t="s">
        <v>4328</v>
      </c>
      <c r="E543" t="s">
        <v>4329</v>
      </c>
      <c r="F543" t="s">
        <v>4330</v>
      </c>
      <c r="G543" t="s">
        <v>1945</v>
      </c>
      <c r="H543" t="s">
        <v>4194</v>
      </c>
      <c r="I543" t="s">
        <v>1938</v>
      </c>
      <c r="J543" t="s">
        <v>1069</v>
      </c>
    </row>
    <row r="544" spans="1:10" x14ac:dyDescent="0.25">
      <c r="A544" t="s">
        <v>1071</v>
      </c>
      <c r="B544" t="s">
        <v>4331</v>
      </c>
      <c r="C544" t="s">
        <v>4332</v>
      </c>
      <c r="D544" t="s">
        <v>4333</v>
      </c>
      <c r="E544" t="s">
        <v>4334</v>
      </c>
      <c r="F544" t="s">
        <v>3519</v>
      </c>
      <c r="G544" t="s">
        <v>6210</v>
      </c>
      <c r="H544">
        <v>71115</v>
      </c>
      <c r="I544" t="s">
        <v>1947</v>
      </c>
      <c r="J544" t="s">
        <v>1071</v>
      </c>
    </row>
    <row r="545" spans="1:10" x14ac:dyDescent="0.25">
      <c r="A545" t="s">
        <v>1073</v>
      </c>
      <c r="B545" t="s">
        <v>4335</v>
      </c>
      <c r="C545" t="s">
        <v>4336</v>
      </c>
      <c r="D545" t="s">
        <v>4337</v>
      </c>
      <c r="E545" t="s">
        <v>4338</v>
      </c>
      <c r="F545" t="s">
        <v>1991</v>
      </c>
      <c r="G545" t="s">
        <v>6210</v>
      </c>
      <c r="H545">
        <v>95194</v>
      </c>
      <c r="I545" t="s">
        <v>1947</v>
      </c>
      <c r="J545" t="s">
        <v>1073</v>
      </c>
    </row>
    <row r="546" spans="1:10" x14ac:dyDescent="0.25">
      <c r="A546" t="s">
        <v>1075</v>
      </c>
      <c r="B546" t="s">
        <v>4339</v>
      </c>
      <c r="C546" t="s">
        <v>4340</v>
      </c>
      <c r="D546" t="s">
        <v>4341</v>
      </c>
      <c r="E546" t="s">
        <v>4342</v>
      </c>
      <c r="F546" t="s">
        <v>2013</v>
      </c>
      <c r="G546" t="s">
        <v>6210</v>
      </c>
      <c r="H546">
        <v>19104</v>
      </c>
      <c r="I546" t="s">
        <v>1947</v>
      </c>
      <c r="J546" t="s">
        <v>1075</v>
      </c>
    </row>
    <row r="547" spans="1:10" x14ac:dyDescent="0.25">
      <c r="A547" t="s">
        <v>1077</v>
      </c>
      <c r="B547" t="s">
        <v>4343</v>
      </c>
      <c r="C547" t="s">
        <v>4344</v>
      </c>
      <c r="D547" t="s">
        <v>4345</v>
      </c>
      <c r="E547" t="s">
        <v>4346</v>
      </c>
      <c r="F547" t="s">
        <v>3129</v>
      </c>
      <c r="G547" t="s">
        <v>2112</v>
      </c>
      <c r="H547" t="s">
        <v>3130</v>
      </c>
      <c r="I547" t="s">
        <v>1947</v>
      </c>
      <c r="J547" t="s">
        <v>1077</v>
      </c>
    </row>
    <row r="548" spans="1:10" x14ac:dyDescent="0.25">
      <c r="A548" t="s">
        <v>1079</v>
      </c>
      <c r="B548" t="s">
        <v>4347</v>
      </c>
      <c r="D548" t="s">
        <v>4348</v>
      </c>
      <c r="E548" t="s">
        <v>4349</v>
      </c>
      <c r="F548" t="s">
        <v>4350</v>
      </c>
      <c r="G548" t="s">
        <v>1945</v>
      </c>
      <c r="H548" t="s">
        <v>4351</v>
      </c>
      <c r="I548" t="s">
        <v>1947</v>
      </c>
      <c r="J548" t="s">
        <v>1079</v>
      </c>
    </row>
    <row r="549" spans="1:10" x14ac:dyDescent="0.25">
      <c r="A549" t="s">
        <v>4352</v>
      </c>
      <c r="B549" t="s">
        <v>4353</v>
      </c>
      <c r="D549" t="s">
        <v>4354</v>
      </c>
      <c r="E549" t="s">
        <v>4355</v>
      </c>
      <c r="F549" t="s">
        <v>3311</v>
      </c>
      <c r="G549" t="s">
        <v>6210</v>
      </c>
      <c r="H549">
        <v>21229</v>
      </c>
      <c r="I549" t="s">
        <v>1938</v>
      </c>
      <c r="J549" t="s">
        <v>4352</v>
      </c>
    </row>
    <row r="550" spans="1:10" x14ac:dyDescent="0.25">
      <c r="A550" t="s">
        <v>1083</v>
      </c>
      <c r="B550" t="s">
        <v>4356</v>
      </c>
      <c r="C550" t="s">
        <v>4357</v>
      </c>
      <c r="D550" t="s">
        <v>4358</v>
      </c>
      <c r="E550" t="s">
        <v>4359</v>
      </c>
      <c r="F550" t="s">
        <v>2358</v>
      </c>
      <c r="G550" t="s">
        <v>6210</v>
      </c>
      <c r="H550">
        <v>73119</v>
      </c>
      <c r="I550" t="s">
        <v>1938</v>
      </c>
      <c r="J550" t="s">
        <v>1083</v>
      </c>
    </row>
    <row r="551" spans="1:10" x14ac:dyDescent="0.25">
      <c r="A551" t="s">
        <v>1081</v>
      </c>
      <c r="B551" t="s">
        <v>4360</v>
      </c>
      <c r="C551" t="s">
        <v>4361</v>
      </c>
      <c r="D551" t="s">
        <v>4362</v>
      </c>
      <c r="E551" t="s">
        <v>4363</v>
      </c>
      <c r="F551" t="s">
        <v>2033</v>
      </c>
      <c r="G551" t="s">
        <v>6210</v>
      </c>
      <c r="H551">
        <v>10060</v>
      </c>
      <c r="I551" t="s">
        <v>1938</v>
      </c>
      <c r="J551" t="s">
        <v>1081</v>
      </c>
    </row>
    <row r="552" spans="1:10" x14ac:dyDescent="0.25">
      <c r="A552" t="s">
        <v>1086</v>
      </c>
      <c r="B552" t="s">
        <v>4364</v>
      </c>
      <c r="C552" t="s">
        <v>4365</v>
      </c>
      <c r="D552" t="s">
        <v>4366</v>
      </c>
      <c r="E552" t="s">
        <v>4367</v>
      </c>
      <c r="F552" t="s">
        <v>2252</v>
      </c>
      <c r="G552" t="s">
        <v>6210</v>
      </c>
      <c r="H552">
        <v>7112</v>
      </c>
      <c r="I552" t="s">
        <v>1938</v>
      </c>
      <c r="J552" t="s">
        <v>1086</v>
      </c>
    </row>
    <row r="553" spans="1:10" x14ac:dyDescent="0.25">
      <c r="A553" t="s">
        <v>1088</v>
      </c>
      <c r="B553" t="s">
        <v>4368</v>
      </c>
      <c r="C553" t="s">
        <v>4369</v>
      </c>
      <c r="D553" t="s">
        <v>4370</v>
      </c>
      <c r="E553" t="s">
        <v>4371</v>
      </c>
      <c r="F553" t="s">
        <v>3672</v>
      </c>
      <c r="G553" t="s">
        <v>6210</v>
      </c>
      <c r="H553">
        <v>6510</v>
      </c>
      <c r="I553" t="s">
        <v>1947</v>
      </c>
      <c r="J553" t="s">
        <v>1088</v>
      </c>
    </row>
    <row r="554" spans="1:10" x14ac:dyDescent="0.25">
      <c r="A554" t="s">
        <v>1090</v>
      </c>
      <c r="B554" t="s">
        <v>4372</v>
      </c>
      <c r="C554" t="s">
        <v>4373</v>
      </c>
      <c r="D554" t="s">
        <v>4374</v>
      </c>
      <c r="E554" t="s">
        <v>4375</v>
      </c>
      <c r="F554" t="s">
        <v>3360</v>
      </c>
      <c r="G554" t="s">
        <v>2112</v>
      </c>
      <c r="H554" t="s">
        <v>3361</v>
      </c>
      <c r="I554" t="s">
        <v>1938</v>
      </c>
      <c r="J554" t="s">
        <v>1090</v>
      </c>
    </row>
    <row r="555" spans="1:10" x14ac:dyDescent="0.25">
      <c r="A555" t="s">
        <v>1092</v>
      </c>
      <c r="B555" t="s">
        <v>4376</v>
      </c>
      <c r="C555" t="s">
        <v>4377</v>
      </c>
      <c r="E555" t="s">
        <v>4378</v>
      </c>
      <c r="F555" t="s">
        <v>2207</v>
      </c>
      <c r="G555" t="s">
        <v>6210</v>
      </c>
      <c r="H555">
        <v>43610</v>
      </c>
      <c r="I555" t="s">
        <v>1947</v>
      </c>
      <c r="J555" t="s">
        <v>1092</v>
      </c>
    </row>
    <row r="556" spans="1:10" x14ac:dyDescent="0.25">
      <c r="A556" t="s">
        <v>1094</v>
      </c>
      <c r="B556" t="s">
        <v>4379</v>
      </c>
      <c r="D556" t="s">
        <v>4380</v>
      </c>
      <c r="E556" t="s">
        <v>4381</v>
      </c>
      <c r="F556" t="s">
        <v>3159</v>
      </c>
      <c r="G556" t="s">
        <v>2112</v>
      </c>
      <c r="H556" t="s">
        <v>4382</v>
      </c>
      <c r="I556" t="s">
        <v>1938</v>
      </c>
      <c r="J556" t="s">
        <v>1094</v>
      </c>
    </row>
    <row r="557" spans="1:10" x14ac:dyDescent="0.25">
      <c r="A557" t="s">
        <v>1096</v>
      </c>
      <c r="B557" t="s">
        <v>4383</v>
      </c>
      <c r="C557" t="s">
        <v>4384</v>
      </c>
      <c r="D557" t="s">
        <v>4385</v>
      </c>
      <c r="E557" t="s">
        <v>4386</v>
      </c>
      <c r="F557" t="s">
        <v>4387</v>
      </c>
      <c r="G557" t="s">
        <v>1945</v>
      </c>
      <c r="H557" t="s">
        <v>4388</v>
      </c>
      <c r="I557" t="s">
        <v>1947</v>
      </c>
      <c r="J557" t="s">
        <v>1096</v>
      </c>
    </row>
    <row r="558" spans="1:10" x14ac:dyDescent="0.25">
      <c r="A558" t="s">
        <v>1098</v>
      </c>
      <c r="B558" t="s">
        <v>4389</v>
      </c>
      <c r="C558" t="s">
        <v>4390</v>
      </c>
      <c r="E558" t="s">
        <v>4391</v>
      </c>
      <c r="F558" t="s">
        <v>3519</v>
      </c>
      <c r="G558" t="s">
        <v>6210</v>
      </c>
      <c r="H558">
        <v>71161</v>
      </c>
      <c r="I558" t="s">
        <v>1938</v>
      </c>
      <c r="J558" t="s">
        <v>1098</v>
      </c>
    </row>
    <row r="559" spans="1:10" x14ac:dyDescent="0.25">
      <c r="A559" t="s">
        <v>4392</v>
      </c>
      <c r="B559" t="s">
        <v>4393</v>
      </c>
      <c r="D559" t="s">
        <v>4394</v>
      </c>
      <c r="E559" t="s">
        <v>4395</v>
      </c>
      <c r="F559" t="s">
        <v>4396</v>
      </c>
      <c r="G559" t="s">
        <v>6210</v>
      </c>
      <c r="H559">
        <v>32835</v>
      </c>
      <c r="I559" t="s">
        <v>1947</v>
      </c>
      <c r="J559" t="s">
        <v>4392</v>
      </c>
    </row>
    <row r="560" spans="1:10" x14ac:dyDescent="0.25">
      <c r="A560" t="s">
        <v>1101</v>
      </c>
      <c r="B560" t="s">
        <v>4397</v>
      </c>
      <c r="D560" t="s">
        <v>4398</v>
      </c>
      <c r="E560" t="s">
        <v>4399</v>
      </c>
      <c r="F560" t="s">
        <v>3315</v>
      </c>
      <c r="G560" t="s">
        <v>6210</v>
      </c>
      <c r="H560">
        <v>40515</v>
      </c>
      <c r="I560" t="s">
        <v>1938</v>
      </c>
      <c r="J560" t="s">
        <v>1101</v>
      </c>
    </row>
    <row r="561" spans="1:10" x14ac:dyDescent="0.25">
      <c r="A561" t="s">
        <v>1103</v>
      </c>
      <c r="B561" t="s">
        <v>4400</v>
      </c>
      <c r="C561" t="s">
        <v>4401</v>
      </c>
      <c r="D561" t="s">
        <v>4402</v>
      </c>
      <c r="E561" t="s">
        <v>4403</v>
      </c>
      <c r="F561" t="s">
        <v>3116</v>
      </c>
      <c r="G561" t="s">
        <v>6210</v>
      </c>
      <c r="H561">
        <v>53263</v>
      </c>
      <c r="I561" t="s">
        <v>1938</v>
      </c>
      <c r="J561" t="s">
        <v>1103</v>
      </c>
    </row>
    <row r="562" spans="1:10" x14ac:dyDescent="0.25">
      <c r="A562" t="s">
        <v>1105</v>
      </c>
      <c r="B562" t="s">
        <v>4404</v>
      </c>
      <c r="D562" t="s">
        <v>4405</v>
      </c>
      <c r="E562" t="s">
        <v>4406</v>
      </c>
      <c r="F562" t="s">
        <v>4407</v>
      </c>
      <c r="G562" t="s">
        <v>6210</v>
      </c>
      <c r="H562">
        <v>79176</v>
      </c>
      <c r="I562" t="s">
        <v>1938</v>
      </c>
      <c r="J562" t="s">
        <v>1105</v>
      </c>
    </row>
    <row r="563" spans="1:10" x14ac:dyDescent="0.25">
      <c r="A563" t="s">
        <v>1107</v>
      </c>
      <c r="B563" t="s">
        <v>4408</v>
      </c>
      <c r="D563" t="s">
        <v>4409</v>
      </c>
      <c r="E563" t="s">
        <v>4410</v>
      </c>
      <c r="F563" t="s">
        <v>4411</v>
      </c>
      <c r="G563" t="s">
        <v>1945</v>
      </c>
      <c r="H563" t="s">
        <v>4412</v>
      </c>
      <c r="I563" t="s">
        <v>1938</v>
      </c>
      <c r="J563" t="s">
        <v>1107</v>
      </c>
    </row>
    <row r="564" spans="1:10" x14ac:dyDescent="0.25">
      <c r="A564" t="s">
        <v>1109</v>
      </c>
      <c r="B564" t="s">
        <v>4413</v>
      </c>
      <c r="C564" t="s">
        <v>4414</v>
      </c>
      <c r="D564" t="s">
        <v>4415</v>
      </c>
      <c r="E564" t="s">
        <v>4416</v>
      </c>
      <c r="F564" t="s">
        <v>4417</v>
      </c>
      <c r="G564" t="s">
        <v>2112</v>
      </c>
      <c r="H564" t="s">
        <v>4418</v>
      </c>
      <c r="I564" t="s">
        <v>1947</v>
      </c>
      <c r="J564" t="s">
        <v>1109</v>
      </c>
    </row>
    <row r="565" spans="1:10" x14ac:dyDescent="0.25">
      <c r="A565" t="s">
        <v>4419</v>
      </c>
      <c r="B565" t="s">
        <v>4420</v>
      </c>
      <c r="C565" t="s">
        <v>4421</v>
      </c>
      <c r="D565" t="s">
        <v>4422</v>
      </c>
      <c r="E565" t="s">
        <v>4423</v>
      </c>
      <c r="F565" t="s">
        <v>3044</v>
      </c>
      <c r="G565" t="s">
        <v>6210</v>
      </c>
      <c r="H565">
        <v>30323</v>
      </c>
      <c r="I565" t="s">
        <v>1947</v>
      </c>
      <c r="J565" t="s">
        <v>4419</v>
      </c>
    </row>
    <row r="566" spans="1:10" x14ac:dyDescent="0.25">
      <c r="A566" t="s">
        <v>1113</v>
      </c>
      <c r="B566" t="s">
        <v>4424</v>
      </c>
      <c r="C566" t="s">
        <v>4425</v>
      </c>
      <c r="D566" t="s">
        <v>4426</v>
      </c>
      <c r="E566" t="s">
        <v>4427</v>
      </c>
      <c r="F566" t="s">
        <v>3407</v>
      </c>
      <c r="G566" t="s">
        <v>6210</v>
      </c>
      <c r="H566">
        <v>37924</v>
      </c>
      <c r="I566" t="s">
        <v>1947</v>
      </c>
      <c r="J566" t="s">
        <v>1113</v>
      </c>
    </row>
    <row r="567" spans="1:10" x14ac:dyDescent="0.25">
      <c r="A567" t="s">
        <v>1115</v>
      </c>
      <c r="B567" t="s">
        <v>4428</v>
      </c>
      <c r="C567" t="s">
        <v>4429</v>
      </c>
      <c r="D567" t="s">
        <v>4430</v>
      </c>
      <c r="E567" t="s">
        <v>4431</v>
      </c>
      <c r="F567" t="s">
        <v>2983</v>
      </c>
      <c r="G567" t="s">
        <v>6210</v>
      </c>
      <c r="H567">
        <v>66225</v>
      </c>
      <c r="I567" t="s">
        <v>1947</v>
      </c>
      <c r="J567" t="s">
        <v>1115</v>
      </c>
    </row>
    <row r="568" spans="1:10" x14ac:dyDescent="0.25">
      <c r="A568" t="s">
        <v>1117</v>
      </c>
      <c r="B568" t="s">
        <v>4432</v>
      </c>
      <c r="C568" t="s">
        <v>4433</v>
      </c>
      <c r="D568" t="s">
        <v>4434</v>
      </c>
      <c r="E568" t="s">
        <v>4435</v>
      </c>
      <c r="F568" t="s">
        <v>2187</v>
      </c>
      <c r="G568" t="s">
        <v>6210</v>
      </c>
      <c r="H568">
        <v>33330</v>
      </c>
      <c r="I568" t="s">
        <v>1938</v>
      </c>
      <c r="J568" t="s">
        <v>1117</v>
      </c>
    </row>
    <row r="569" spans="1:10" x14ac:dyDescent="0.25">
      <c r="A569" t="s">
        <v>1119</v>
      </c>
      <c r="B569" t="s">
        <v>4436</v>
      </c>
      <c r="D569" t="s">
        <v>4437</v>
      </c>
      <c r="E569" t="s">
        <v>4438</v>
      </c>
      <c r="F569" t="s">
        <v>2072</v>
      </c>
      <c r="G569" t="s">
        <v>1945</v>
      </c>
      <c r="H569" t="s">
        <v>2073</v>
      </c>
      <c r="I569" t="s">
        <v>1947</v>
      </c>
      <c r="J569" t="s">
        <v>1119</v>
      </c>
    </row>
    <row r="570" spans="1:10" x14ac:dyDescent="0.25">
      <c r="A570" t="s">
        <v>1121</v>
      </c>
      <c r="B570" t="s">
        <v>4439</v>
      </c>
      <c r="C570" t="s">
        <v>4440</v>
      </c>
      <c r="D570" t="s">
        <v>4441</v>
      </c>
      <c r="E570" t="s">
        <v>4442</v>
      </c>
      <c r="F570" t="s">
        <v>2383</v>
      </c>
      <c r="G570" t="s">
        <v>6210</v>
      </c>
      <c r="H570">
        <v>78715</v>
      </c>
      <c r="I570" t="s">
        <v>1938</v>
      </c>
      <c r="J570" t="s">
        <v>1121</v>
      </c>
    </row>
    <row r="571" spans="1:10" x14ac:dyDescent="0.25">
      <c r="A571" t="s">
        <v>4443</v>
      </c>
      <c r="B571" t="s">
        <v>4444</v>
      </c>
      <c r="C571" t="s">
        <v>4445</v>
      </c>
      <c r="D571" t="s">
        <v>4446</v>
      </c>
      <c r="E571" t="s">
        <v>4447</v>
      </c>
      <c r="F571" t="s">
        <v>4188</v>
      </c>
      <c r="G571" t="s">
        <v>6210</v>
      </c>
      <c r="H571">
        <v>44105</v>
      </c>
      <c r="I571" t="s">
        <v>1947</v>
      </c>
      <c r="J571" t="s">
        <v>4443</v>
      </c>
    </row>
    <row r="572" spans="1:10" x14ac:dyDescent="0.25">
      <c r="A572" t="s">
        <v>1124</v>
      </c>
      <c r="B572" t="s">
        <v>4448</v>
      </c>
      <c r="C572" t="s">
        <v>4449</v>
      </c>
      <c r="D572" t="s">
        <v>4450</v>
      </c>
      <c r="E572" t="s">
        <v>4451</v>
      </c>
      <c r="F572" t="s">
        <v>4452</v>
      </c>
      <c r="G572" t="s">
        <v>6210</v>
      </c>
      <c r="H572">
        <v>20784</v>
      </c>
      <c r="I572" t="s">
        <v>1947</v>
      </c>
      <c r="J572" t="s">
        <v>1124</v>
      </c>
    </row>
    <row r="573" spans="1:10" x14ac:dyDescent="0.25">
      <c r="A573" t="s">
        <v>1126</v>
      </c>
      <c r="B573" t="s">
        <v>4453</v>
      </c>
      <c r="C573" t="s">
        <v>4454</v>
      </c>
      <c r="D573" t="s">
        <v>4455</v>
      </c>
      <c r="E573" t="s">
        <v>4456</v>
      </c>
      <c r="F573" t="s">
        <v>4457</v>
      </c>
      <c r="G573" t="s">
        <v>2112</v>
      </c>
      <c r="H573" t="s">
        <v>4458</v>
      </c>
      <c r="I573" t="s">
        <v>1947</v>
      </c>
      <c r="J573" t="s">
        <v>1126</v>
      </c>
    </row>
    <row r="574" spans="1:10" x14ac:dyDescent="0.25">
      <c r="A574" t="s">
        <v>1128</v>
      </c>
      <c r="B574" t="s">
        <v>4459</v>
      </c>
      <c r="E574" t="s">
        <v>4460</v>
      </c>
      <c r="F574" t="s">
        <v>2942</v>
      </c>
      <c r="G574" t="s">
        <v>6210</v>
      </c>
      <c r="H574">
        <v>91103</v>
      </c>
      <c r="I574" t="s">
        <v>1938</v>
      </c>
      <c r="J574" t="s">
        <v>1128</v>
      </c>
    </row>
    <row r="575" spans="1:10" x14ac:dyDescent="0.25">
      <c r="A575" t="s">
        <v>1130</v>
      </c>
      <c r="B575" t="s">
        <v>4461</v>
      </c>
      <c r="C575" t="s">
        <v>4462</v>
      </c>
      <c r="D575" t="s">
        <v>4463</v>
      </c>
      <c r="E575" t="s">
        <v>4464</v>
      </c>
      <c r="F575" t="s">
        <v>3519</v>
      </c>
      <c r="G575" t="s">
        <v>6210</v>
      </c>
      <c r="H575">
        <v>71161</v>
      </c>
      <c r="I575" t="s">
        <v>1947</v>
      </c>
      <c r="J575" t="s">
        <v>1130</v>
      </c>
    </row>
    <row r="576" spans="1:10" x14ac:dyDescent="0.25">
      <c r="A576" t="s">
        <v>1132</v>
      </c>
      <c r="B576" t="s">
        <v>4465</v>
      </c>
      <c r="C576" t="s">
        <v>4466</v>
      </c>
      <c r="E576" t="s">
        <v>4467</v>
      </c>
      <c r="F576" t="s">
        <v>2221</v>
      </c>
      <c r="G576" t="s">
        <v>6210</v>
      </c>
      <c r="H576">
        <v>32590</v>
      </c>
      <c r="I576" t="s">
        <v>1938</v>
      </c>
      <c r="J576" t="s">
        <v>1132</v>
      </c>
    </row>
    <row r="577" spans="1:10" x14ac:dyDescent="0.25">
      <c r="A577" t="s">
        <v>1134</v>
      </c>
      <c r="B577" t="s">
        <v>4468</v>
      </c>
      <c r="C577" t="s">
        <v>4469</v>
      </c>
      <c r="D577" t="s">
        <v>4470</v>
      </c>
      <c r="E577" t="s">
        <v>4471</v>
      </c>
      <c r="F577" t="s">
        <v>1982</v>
      </c>
      <c r="G577" t="s">
        <v>6210</v>
      </c>
      <c r="H577">
        <v>90035</v>
      </c>
      <c r="I577" t="s">
        <v>1947</v>
      </c>
      <c r="J577" t="s">
        <v>1134</v>
      </c>
    </row>
    <row r="578" spans="1:10" x14ac:dyDescent="0.25">
      <c r="A578" t="s">
        <v>1136</v>
      </c>
      <c r="B578" t="s">
        <v>4472</v>
      </c>
      <c r="C578" t="s">
        <v>4473</v>
      </c>
      <c r="D578" t="s">
        <v>4474</v>
      </c>
      <c r="E578" t="s">
        <v>4475</v>
      </c>
      <c r="F578" t="s">
        <v>4476</v>
      </c>
      <c r="G578" t="s">
        <v>6210</v>
      </c>
      <c r="H578">
        <v>27705</v>
      </c>
      <c r="I578" t="s">
        <v>1947</v>
      </c>
      <c r="J578" t="s">
        <v>1136</v>
      </c>
    </row>
    <row r="579" spans="1:10" x14ac:dyDescent="0.25">
      <c r="A579" t="s">
        <v>1111</v>
      </c>
      <c r="B579" t="s">
        <v>4477</v>
      </c>
      <c r="C579" t="s">
        <v>4478</v>
      </c>
      <c r="E579" t="s">
        <v>4479</v>
      </c>
      <c r="F579" t="s">
        <v>4480</v>
      </c>
      <c r="G579" t="s">
        <v>2112</v>
      </c>
      <c r="H579" t="s">
        <v>4481</v>
      </c>
      <c r="I579" t="s">
        <v>1947</v>
      </c>
      <c r="J579" t="s">
        <v>1111</v>
      </c>
    </row>
    <row r="580" spans="1:10" x14ac:dyDescent="0.25">
      <c r="A580" t="s">
        <v>1139</v>
      </c>
      <c r="B580" t="s">
        <v>4482</v>
      </c>
      <c r="C580" t="s">
        <v>4483</v>
      </c>
      <c r="D580" t="s">
        <v>4484</v>
      </c>
      <c r="E580" t="s">
        <v>4485</v>
      </c>
      <c r="F580" t="s">
        <v>4486</v>
      </c>
      <c r="G580" t="s">
        <v>1945</v>
      </c>
      <c r="H580" t="s">
        <v>4487</v>
      </c>
      <c r="I580" t="s">
        <v>1947</v>
      </c>
      <c r="J580" t="s">
        <v>1139</v>
      </c>
    </row>
    <row r="581" spans="1:10" x14ac:dyDescent="0.25">
      <c r="A581" t="s">
        <v>4488</v>
      </c>
      <c r="B581" t="s">
        <v>4489</v>
      </c>
      <c r="C581" t="s">
        <v>4490</v>
      </c>
      <c r="D581" t="s">
        <v>4491</v>
      </c>
      <c r="E581" t="s">
        <v>4492</v>
      </c>
      <c r="F581" t="s">
        <v>4411</v>
      </c>
      <c r="G581" t="s">
        <v>1945</v>
      </c>
      <c r="H581" t="s">
        <v>4412</v>
      </c>
      <c r="I581" t="s">
        <v>1947</v>
      </c>
      <c r="J581" t="s">
        <v>4488</v>
      </c>
    </row>
    <row r="582" spans="1:10" x14ac:dyDescent="0.25">
      <c r="A582" t="s">
        <v>1141</v>
      </c>
      <c r="B582" t="s">
        <v>4493</v>
      </c>
      <c r="C582" t="s">
        <v>4494</v>
      </c>
      <c r="D582" t="s">
        <v>4495</v>
      </c>
      <c r="E582" t="s">
        <v>4496</v>
      </c>
      <c r="F582" t="s">
        <v>2753</v>
      </c>
      <c r="G582" t="s">
        <v>6210</v>
      </c>
      <c r="H582">
        <v>90605</v>
      </c>
      <c r="I582" t="s">
        <v>1938</v>
      </c>
      <c r="J582" t="s">
        <v>1141</v>
      </c>
    </row>
    <row r="583" spans="1:10" x14ac:dyDescent="0.25">
      <c r="A583" t="s">
        <v>1143</v>
      </c>
      <c r="B583" t="s">
        <v>4497</v>
      </c>
      <c r="C583" t="s">
        <v>4498</v>
      </c>
      <c r="E583" t="s">
        <v>4499</v>
      </c>
      <c r="F583" t="s">
        <v>2168</v>
      </c>
      <c r="G583" t="s">
        <v>2112</v>
      </c>
      <c r="H583" t="s">
        <v>2482</v>
      </c>
      <c r="I583" t="s">
        <v>1938</v>
      </c>
      <c r="J583" t="s">
        <v>1143</v>
      </c>
    </row>
    <row r="584" spans="1:10" x14ac:dyDescent="0.25">
      <c r="A584" t="s">
        <v>1145</v>
      </c>
      <c r="B584" t="s">
        <v>4500</v>
      </c>
      <c r="C584" t="s">
        <v>4501</v>
      </c>
      <c r="D584" t="s">
        <v>4502</v>
      </c>
      <c r="E584" t="s">
        <v>4503</v>
      </c>
      <c r="F584" t="s">
        <v>2000</v>
      </c>
      <c r="G584" t="s">
        <v>6210</v>
      </c>
      <c r="H584">
        <v>23237</v>
      </c>
      <c r="I584" t="s">
        <v>1947</v>
      </c>
      <c r="J584" t="s">
        <v>1145</v>
      </c>
    </row>
    <row r="585" spans="1:10" x14ac:dyDescent="0.25">
      <c r="A585" t="s">
        <v>1147</v>
      </c>
      <c r="B585" t="s">
        <v>4504</v>
      </c>
      <c r="C585" t="s">
        <v>4505</v>
      </c>
      <c r="D585" t="s">
        <v>4506</v>
      </c>
      <c r="E585" t="s">
        <v>4507</v>
      </c>
      <c r="F585" t="s">
        <v>4069</v>
      </c>
      <c r="G585" t="s">
        <v>6210</v>
      </c>
      <c r="H585">
        <v>20167</v>
      </c>
      <c r="I585" t="s">
        <v>1938</v>
      </c>
      <c r="J585" t="s">
        <v>1147</v>
      </c>
    </row>
    <row r="586" spans="1:10" x14ac:dyDescent="0.25">
      <c r="A586" t="s">
        <v>1149</v>
      </c>
      <c r="B586" t="s">
        <v>4508</v>
      </c>
      <c r="C586" t="s">
        <v>4509</v>
      </c>
      <c r="D586" t="s">
        <v>4510</v>
      </c>
      <c r="E586" t="s">
        <v>4511</v>
      </c>
      <c r="F586" t="s">
        <v>2621</v>
      </c>
      <c r="G586" t="s">
        <v>6210</v>
      </c>
      <c r="H586">
        <v>89706</v>
      </c>
      <c r="I586" t="s">
        <v>1947</v>
      </c>
      <c r="J586" t="s">
        <v>1149</v>
      </c>
    </row>
    <row r="587" spans="1:10" x14ac:dyDescent="0.25">
      <c r="A587" t="s">
        <v>4512</v>
      </c>
      <c r="B587" t="s">
        <v>4513</v>
      </c>
      <c r="C587" t="s">
        <v>4514</v>
      </c>
      <c r="D587" t="s">
        <v>4515</v>
      </c>
      <c r="E587" t="s">
        <v>4516</v>
      </c>
      <c r="F587" t="s">
        <v>2669</v>
      </c>
      <c r="G587" t="s">
        <v>1945</v>
      </c>
      <c r="H587" t="s">
        <v>2670</v>
      </c>
      <c r="I587" t="s">
        <v>1938</v>
      </c>
      <c r="J587" t="s">
        <v>4512</v>
      </c>
    </row>
    <row r="588" spans="1:10" x14ac:dyDescent="0.25">
      <c r="A588" t="s">
        <v>1153</v>
      </c>
      <c r="B588" t="s">
        <v>4517</v>
      </c>
      <c r="D588" t="s">
        <v>4518</v>
      </c>
      <c r="E588" t="s">
        <v>4519</v>
      </c>
      <c r="F588" t="s">
        <v>2229</v>
      </c>
      <c r="G588" t="s">
        <v>6210</v>
      </c>
      <c r="H588">
        <v>55123</v>
      </c>
      <c r="I588" t="s">
        <v>1947</v>
      </c>
      <c r="J588" t="s">
        <v>1153</v>
      </c>
    </row>
    <row r="589" spans="1:10" x14ac:dyDescent="0.25">
      <c r="A589" t="s">
        <v>1155</v>
      </c>
      <c r="B589" t="s">
        <v>4520</v>
      </c>
      <c r="C589" t="s">
        <v>4521</v>
      </c>
      <c r="E589" t="s">
        <v>4522</v>
      </c>
      <c r="F589" t="s">
        <v>2563</v>
      </c>
      <c r="G589" t="s">
        <v>6210</v>
      </c>
      <c r="H589">
        <v>35895</v>
      </c>
      <c r="I589" t="s">
        <v>1938</v>
      </c>
      <c r="J589" t="s">
        <v>1155</v>
      </c>
    </row>
    <row r="590" spans="1:10" x14ac:dyDescent="0.25">
      <c r="A590" t="s">
        <v>1157</v>
      </c>
      <c r="B590" t="s">
        <v>4523</v>
      </c>
      <c r="C590" t="s">
        <v>4524</v>
      </c>
      <c r="D590" t="s">
        <v>4525</v>
      </c>
      <c r="E590" t="s">
        <v>4526</v>
      </c>
      <c r="F590" t="s">
        <v>2444</v>
      </c>
      <c r="G590" t="s">
        <v>6210</v>
      </c>
      <c r="H590">
        <v>88553</v>
      </c>
      <c r="I590" t="s">
        <v>1938</v>
      </c>
      <c r="J590" t="s">
        <v>1157</v>
      </c>
    </row>
    <row r="591" spans="1:10" x14ac:dyDescent="0.25">
      <c r="A591" t="s">
        <v>1159</v>
      </c>
      <c r="B591" t="s">
        <v>4527</v>
      </c>
      <c r="C591" t="s">
        <v>4528</v>
      </c>
      <c r="E591" t="s">
        <v>4529</v>
      </c>
      <c r="F591" t="s">
        <v>4530</v>
      </c>
      <c r="G591" t="s">
        <v>6210</v>
      </c>
      <c r="H591">
        <v>30033</v>
      </c>
      <c r="I591" t="s">
        <v>1947</v>
      </c>
      <c r="J591" t="s">
        <v>1159</v>
      </c>
    </row>
    <row r="592" spans="1:10" x14ac:dyDescent="0.25">
      <c r="A592" t="s">
        <v>1161</v>
      </c>
      <c r="B592" t="s">
        <v>4531</v>
      </c>
      <c r="C592" t="s">
        <v>4532</v>
      </c>
      <c r="D592" t="s">
        <v>4533</v>
      </c>
      <c r="E592" t="s">
        <v>4534</v>
      </c>
      <c r="F592" t="s">
        <v>2612</v>
      </c>
      <c r="G592" t="s">
        <v>6210</v>
      </c>
      <c r="H592">
        <v>92668</v>
      </c>
      <c r="I592" t="s">
        <v>1938</v>
      </c>
      <c r="J592" t="s">
        <v>1161</v>
      </c>
    </row>
    <row r="593" spans="1:10" x14ac:dyDescent="0.25">
      <c r="A593" t="s">
        <v>1163</v>
      </c>
      <c r="B593" t="s">
        <v>4535</v>
      </c>
      <c r="C593" t="s">
        <v>4536</v>
      </c>
      <c r="E593" t="s">
        <v>4537</v>
      </c>
      <c r="F593" t="s">
        <v>4538</v>
      </c>
      <c r="G593" t="s">
        <v>6210</v>
      </c>
      <c r="H593">
        <v>92648</v>
      </c>
      <c r="I593" t="s">
        <v>1938</v>
      </c>
      <c r="J593" t="s">
        <v>1163</v>
      </c>
    </row>
    <row r="594" spans="1:10" x14ac:dyDescent="0.25">
      <c r="A594" t="s">
        <v>1165</v>
      </c>
      <c r="B594" t="s">
        <v>4539</v>
      </c>
      <c r="D594" t="s">
        <v>4540</v>
      </c>
      <c r="E594" t="s">
        <v>4541</v>
      </c>
      <c r="F594" t="s">
        <v>3116</v>
      </c>
      <c r="G594" t="s">
        <v>6210</v>
      </c>
      <c r="H594">
        <v>53285</v>
      </c>
      <c r="I594" t="s">
        <v>1947</v>
      </c>
      <c r="J594" t="s">
        <v>1165</v>
      </c>
    </row>
    <row r="595" spans="1:10" x14ac:dyDescent="0.25">
      <c r="A595" t="s">
        <v>1151</v>
      </c>
      <c r="B595" t="s">
        <v>4542</v>
      </c>
      <c r="C595" t="s">
        <v>4543</v>
      </c>
      <c r="E595" t="s">
        <v>4544</v>
      </c>
      <c r="F595" t="s">
        <v>2111</v>
      </c>
      <c r="G595" t="s">
        <v>2112</v>
      </c>
      <c r="H595" t="s">
        <v>2113</v>
      </c>
      <c r="I595" t="s">
        <v>1938</v>
      </c>
      <c r="J595" t="s">
        <v>1151</v>
      </c>
    </row>
    <row r="596" spans="1:10" x14ac:dyDescent="0.25">
      <c r="A596" t="s">
        <v>1168</v>
      </c>
      <c r="B596" t="s">
        <v>4545</v>
      </c>
      <c r="C596" t="s">
        <v>4546</v>
      </c>
      <c r="D596" t="s">
        <v>4547</v>
      </c>
      <c r="E596" t="s">
        <v>4548</v>
      </c>
      <c r="F596" t="s">
        <v>2674</v>
      </c>
      <c r="G596" t="s">
        <v>6210</v>
      </c>
      <c r="H596">
        <v>37416</v>
      </c>
      <c r="I596" t="s">
        <v>1947</v>
      </c>
      <c r="J596" t="s">
        <v>1168</v>
      </c>
    </row>
    <row r="597" spans="1:10" x14ac:dyDescent="0.25">
      <c r="A597" t="s">
        <v>1170</v>
      </c>
      <c r="B597" t="s">
        <v>4549</v>
      </c>
      <c r="E597" t="s">
        <v>4550</v>
      </c>
      <c r="F597" t="s">
        <v>4551</v>
      </c>
      <c r="G597" t="s">
        <v>2112</v>
      </c>
      <c r="H597" t="s">
        <v>4552</v>
      </c>
      <c r="I597" t="s">
        <v>1947</v>
      </c>
      <c r="J597" t="s">
        <v>1170</v>
      </c>
    </row>
    <row r="598" spans="1:10" x14ac:dyDescent="0.25">
      <c r="A598" t="s">
        <v>1172</v>
      </c>
      <c r="B598" t="s">
        <v>4553</v>
      </c>
      <c r="C598" t="s">
        <v>4554</v>
      </c>
      <c r="D598" t="s">
        <v>4555</v>
      </c>
      <c r="E598" t="s">
        <v>4556</v>
      </c>
      <c r="F598" t="s">
        <v>2283</v>
      </c>
      <c r="G598" t="s">
        <v>6210</v>
      </c>
      <c r="H598">
        <v>43268</v>
      </c>
      <c r="I598" t="s">
        <v>1947</v>
      </c>
      <c r="J598" t="s">
        <v>1172</v>
      </c>
    </row>
    <row r="599" spans="1:10" x14ac:dyDescent="0.25">
      <c r="A599" t="s">
        <v>1174</v>
      </c>
      <c r="B599" t="s">
        <v>4557</v>
      </c>
      <c r="C599" t="s">
        <v>4558</v>
      </c>
      <c r="D599" t="s">
        <v>4559</v>
      </c>
      <c r="E599" t="s">
        <v>4560</v>
      </c>
      <c r="F599" t="s">
        <v>2942</v>
      </c>
      <c r="G599" t="s">
        <v>6210</v>
      </c>
      <c r="H599">
        <v>91186</v>
      </c>
      <c r="I599" t="s">
        <v>1938</v>
      </c>
      <c r="J599" t="s">
        <v>1174</v>
      </c>
    </row>
    <row r="600" spans="1:10" x14ac:dyDescent="0.25">
      <c r="A600" t="s">
        <v>1176</v>
      </c>
      <c r="B600" t="s">
        <v>4561</v>
      </c>
      <c r="C600" t="s">
        <v>4562</v>
      </c>
      <c r="D600" t="s">
        <v>4563</v>
      </c>
      <c r="E600" t="s">
        <v>4564</v>
      </c>
      <c r="F600" t="s">
        <v>3085</v>
      </c>
      <c r="G600" t="s">
        <v>6210</v>
      </c>
      <c r="H600">
        <v>94159</v>
      </c>
      <c r="I600" t="s">
        <v>1938</v>
      </c>
      <c r="J600" t="s">
        <v>1176</v>
      </c>
    </row>
    <row r="601" spans="1:10" x14ac:dyDescent="0.25">
      <c r="A601" t="s">
        <v>1178</v>
      </c>
      <c r="B601" t="s">
        <v>4565</v>
      </c>
      <c r="C601" t="s">
        <v>4566</v>
      </c>
      <c r="E601" t="s">
        <v>4567</v>
      </c>
      <c r="F601" t="s">
        <v>3519</v>
      </c>
      <c r="G601" t="s">
        <v>6210</v>
      </c>
      <c r="H601">
        <v>71137</v>
      </c>
      <c r="I601" t="s">
        <v>1938</v>
      </c>
      <c r="J601" t="s">
        <v>1178</v>
      </c>
    </row>
    <row r="602" spans="1:10" x14ac:dyDescent="0.25">
      <c r="A602" t="s">
        <v>1180</v>
      </c>
      <c r="B602" t="s">
        <v>4568</v>
      </c>
      <c r="C602" t="s">
        <v>4569</v>
      </c>
      <c r="D602" t="s">
        <v>4570</v>
      </c>
      <c r="E602" t="s">
        <v>4571</v>
      </c>
      <c r="F602" t="s">
        <v>2013</v>
      </c>
      <c r="G602" t="s">
        <v>6210</v>
      </c>
      <c r="H602">
        <v>19141</v>
      </c>
      <c r="I602" t="s">
        <v>1947</v>
      </c>
      <c r="J602" t="s">
        <v>1180</v>
      </c>
    </row>
    <row r="603" spans="1:10" x14ac:dyDescent="0.25">
      <c r="A603" t="s">
        <v>1182</v>
      </c>
      <c r="B603" t="s">
        <v>4572</v>
      </c>
      <c r="C603" t="s">
        <v>4573</v>
      </c>
      <c r="D603" t="s">
        <v>4574</v>
      </c>
      <c r="E603" t="s">
        <v>4575</v>
      </c>
      <c r="F603" t="s">
        <v>2004</v>
      </c>
      <c r="G603" t="s">
        <v>6210</v>
      </c>
      <c r="H603">
        <v>41905</v>
      </c>
      <c r="I603" t="s">
        <v>1938</v>
      </c>
      <c r="J603" t="s">
        <v>1182</v>
      </c>
    </row>
    <row r="604" spans="1:10" x14ac:dyDescent="0.25">
      <c r="A604" t="s">
        <v>1184</v>
      </c>
      <c r="B604" t="s">
        <v>4576</v>
      </c>
      <c r="C604" t="s">
        <v>4577</v>
      </c>
      <c r="D604" t="s">
        <v>4578</v>
      </c>
      <c r="E604" t="s">
        <v>4579</v>
      </c>
      <c r="F604" t="s">
        <v>2207</v>
      </c>
      <c r="G604" t="s">
        <v>6210</v>
      </c>
      <c r="H604">
        <v>43666</v>
      </c>
      <c r="I604" t="s">
        <v>1938</v>
      </c>
      <c r="J604" t="s">
        <v>1184</v>
      </c>
    </row>
    <row r="605" spans="1:10" x14ac:dyDescent="0.25">
      <c r="A605" t="s">
        <v>1186</v>
      </c>
      <c r="B605" t="s">
        <v>4580</v>
      </c>
      <c r="C605" t="s">
        <v>4581</v>
      </c>
      <c r="E605" t="s">
        <v>4582</v>
      </c>
      <c r="F605" t="s">
        <v>2336</v>
      </c>
      <c r="G605" t="s">
        <v>6210</v>
      </c>
      <c r="H605">
        <v>80945</v>
      </c>
      <c r="I605" t="s">
        <v>1947</v>
      </c>
      <c r="J605" t="s">
        <v>1186</v>
      </c>
    </row>
    <row r="606" spans="1:10" x14ac:dyDescent="0.25">
      <c r="A606" t="s">
        <v>1188</v>
      </c>
      <c r="B606" t="s">
        <v>4583</v>
      </c>
      <c r="D606" t="s">
        <v>4584</v>
      </c>
      <c r="E606" t="s">
        <v>4585</v>
      </c>
      <c r="F606" t="s">
        <v>3834</v>
      </c>
      <c r="G606" t="s">
        <v>1945</v>
      </c>
      <c r="H606" t="s">
        <v>3835</v>
      </c>
      <c r="I606" t="s">
        <v>1947</v>
      </c>
      <c r="J606" t="s">
        <v>1188</v>
      </c>
    </row>
    <row r="607" spans="1:10" x14ac:dyDescent="0.25">
      <c r="A607" t="s">
        <v>1190</v>
      </c>
      <c r="B607" t="s">
        <v>4586</v>
      </c>
      <c r="C607" t="s">
        <v>4587</v>
      </c>
      <c r="D607" t="s">
        <v>4588</v>
      </c>
      <c r="E607" t="s">
        <v>4589</v>
      </c>
      <c r="F607" t="s">
        <v>4590</v>
      </c>
      <c r="G607" t="s">
        <v>6210</v>
      </c>
      <c r="H607">
        <v>15274</v>
      </c>
      <c r="I607" t="s">
        <v>1938</v>
      </c>
      <c r="J607" t="s">
        <v>1190</v>
      </c>
    </row>
    <row r="608" spans="1:10" x14ac:dyDescent="0.25">
      <c r="A608" t="s">
        <v>4591</v>
      </c>
      <c r="B608" t="s">
        <v>4592</v>
      </c>
      <c r="C608" t="s">
        <v>4593</v>
      </c>
      <c r="D608" t="s">
        <v>4594</v>
      </c>
      <c r="E608" t="s">
        <v>4595</v>
      </c>
      <c r="F608" t="s">
        <v>3383</v>
      </c>
      <c r="G608" t="s">
        <v>6210</v>
      </c>
      <c r="H608">
        <v>33411</v>
      </c>
      <c r="I608" t="s">
        <v>1947</v>
      </c>
      <c r="J608" t="s">
        <v>4591</v>
      </c>
    </row>
    <row r="609" spans="1:10" x14ac:dyDescent="0.25">
      <c r="A609" t="s">
        <v>1193</v>
      </c>
      <c r="B609" t="s">
        <v>4596</v>
      </c>
      <c r="C609" t="s">
        <v>4597</v>
      </c>
      <c r="D609" t="s">
        <v>4598</v>
      </c>
      <c r="E609" t="s">
        <v>4599</v>
      </c>
      <c r="F609" t="s">
        <v>3519</v>
      </c>
      <c r="G609" t="s">
        <v>6210</v>
      </c>
      <c r="H609">
        <v>71115</v>
      </c>
      <c r="I609" t="s">
        <v>1938</v>
      </c>
      <c r="J609" t="s">
        <v>1193</v>
      </c>
    </row>
    <row r="610" spans="1:10" x14ac:dyDescent="0.25">
      <c r="A610" t="s">
        <v>1195</v>
      </c>
      <c r="B610" t="s">
        <v>4600</v>
      </c>
      <c r="E610" t="s">
        <v>4601</v>
      </c>
      <c r="F610" t="s">
        <v>4188</v>
      </c>
      <c r="G610" t="s">
        <v>6210</v>
      </c>
      <c r="H610">
        <v>44105</v>
      </c>
      <c r="I610" t="s">
        <v>1947</v>
      </c>
      <c r="J610" t="s">
        <v>1195</v>
      </c>
    </row>
    <row r="611" spans="1:10" x14ac:dyDescent="0.25">
      <c r="A611" t="s">
        <v>1197</v>
      </c>
      <c r="B611" t="s">
        <v>4602</v>
      </c>
      <c r="C611" t="s">
        <v>4603</v>
      </c>
      <c r="D611" t="s">
        <v>4604</v>
      </c>
      <c r="E611" t="s">
        <v>4605</v>
      </c>
      <c r="F611" t="s">
        <v>3116</v>
      </c>
      <c r="G611" t="s">
        <v>6210</v>
      </c>
      <c r="H611">
        <v>53234</v>
      </c>
      <c r="I611" t="s">
        <v>1938</v>
      </c>
      <c r="J611" t="s">
        <v>1197</v>
      </c>
    </row>
    <row r="612" spans="1:10" x14ac:dyDescent="0.25">
      <c r="A612" t="s">
        <v>1199</v>
      </c>
      <c r="B612" t="s">
        <v>4606</v>
      </c>
      <c r="C612" t="s">
        <v>4607</v>
      </c>
      <c r="D612" t="s">
        <v>4608</v>
      </c>
      <c r="E612" t="s">
        <v>4609</v>
      </c>
      <c r="F612" t="s">
        <v>2187</v>
      </c>
      <c r="G612" t="s">
        <v>6210</v>
      </c>
      <c r="H612">
        <v>33345</v>
      </c>
      <c r="I612" t="s">
        <v>1947</v>
      </c>
      <c r="J612" t="s">
        <v>1199</v>
      </c>
    </row>
    <row r="613" spans="1:10" x14ac:dyDescent="0.25">
      <c r="A613" t="s">
        <v>1201</v>
      </c>
      <c r="B613" t="s">
        <v>4610</v>
      </c>
      <c r="C613" t="s">
        <v>4611</v>
      </c>
      <c r="D613" t="s">
        <v>4612</v>
      </c>
      <c r="E613" t="s">
        <v>4613</v>
      </c>
      <c r="F613" t="s">
        <v>3519</v>
      </c>
      <c r="G613" t="s">
        <v>6210</v>
      </c>
      <c r="H613">
        <v>71105</v>
      </c>
      <c r="I613" t="s">
        <v>1947</v>
      </c>
      <c r="J613" t="s">
        <v>1201</v>
      </c>
    </row>
    <row r="614" spans="1:10" x14ac:dyDescent="0.25">
      <c r="A614" t="s">
        <v>1203</v>
      </c>
      <c r="B614" t="s">
        <v>4614</v>
      </c>
      <c r="D614" t="s">
        <v>4615</v>
      </c>
      <c r="E614" t="s">
        <v>4616</v>
      </c>
      <c r="F614" t="s">
        <v>2362</v>
      </c>
      <c r="G614" t="s">
        <v>1945</v>
      </c>
      <c r="H614" t="s">
        <v>2541</v>
      </c>
      <c r="I614" t="s">
        <v>1947</v>
      </c>
      <c r="J614" t="s">
        <v>1203</v>
      </c>
    </row>
    <row r="615" spans="1:10" x14ac:dyDescent="0.25">
      <c r="A615" t="s">
        <v>1205</v>
      </c>
      <c r="B615" t="s">
        <v>4617</v>
      </c>
      <c r="D615" t="s">
        <v>4618</v>
      </c>
      <c r="E615" t="s">
        <v>4619</v>
      </c>
      <c r="F615" t="s">
        <v>2994</v>
      </c>
      <c r="G615" t="s">
        <v>6210</v>
      </c>
      <c r="H615">
        <v>94207</v>
      </c>
      <c r="I615" t="s">
        <v>1947</v>
      </c>
      <c r="J615" t="s">
        <v>1205</v>
      </c>
    </row>
    <row r="616" spans="1:10" x14ac:dyDescent="0.25">
      <c r="A616" t="s">
        <v>4620</v>
      </c>
      <c r="B616" t="s">
        <v>4621</v>
      </c>
      <c r="D616" t="s">
        <v>4622</v>
      </c>
      <c r="E616" t="s">
        <v>4623</v>
      </c>
      <c r="F616" t="s">
        <v>2502</v>
      </c>
      <c r="G616" t="s">
        <v>6210</v>
      </c>
      <c r="H616">
        <v>37240</v>
      </c>
      <c r="I616" t="s">
        <v>1947</v>
      </c>
      <c r="J616" t="s">
        <v>4620</v>
      </c>
    </row>
    <row r="617" spans="1:10" x14ac:dyDescent="0.25">
      <c r="A617" t="s">
        <v>1208</v>
      </c>
      <c r="B617" t="s">
        <v>4624</v>
      </c>
      <c r="C617" t="s">
        <v>4625</v>
      </c>
      <c r="D617" t="s">
        <v>4626</v>
      </c>
      <c r="E617" t="s">
        <v>4627</v>
      </c>
      <c r="F617" t="s">
        <v>2546</v>
      </c>
      <c r="G617" t="s">
        <v>6210</v>
      </c>
      <c r="H617">
        <v>58122</v>
      </c>
      <c r="I617" t="s">
        <v>1938</v>
      </c>
      <c r="J617" t="s">
        <v>1208</v>
      </c>
    </row>
    <row r="618" spans="1:10" x14ac:dyDescent="0.25">
      <c r="A618" t="s">
        <v>1210</v>
      </c>
      <c r="B618" t="s">
        <v>4628</v>
      </c>
      <c r="C618" t="s">
        <v>4629</v>
      </c>
      <c r="D618" t="s">
        <v>4630</v>
      </c>
      <c r="E618" t="s">
        <v>4631</v>
      </c>
      <c r="F618" t="s">
        <v>4632</v>
      </c>
      <c r="G618" t="s">
        <v>2112</v>
      </c>
      <c r="H618" t="s">
        <v>4633</v>
      </c>
      <c r="I618" t="s">
        <v>1947</v>
      </c>
      <c r="J618" t="s">
        <v>1210</v>
      </c>
    </row>
    <row r="619" spans="1:10" x14ac:dyDescent="0.25">
      <c r="A619" t="s">
        <v>1212</v>
      </c>
      <c r="B619" t="s">
        <v>4634</v>
      </c>
      <c r="C619" t="s">
        <v>4635</v>
      </c>
      <c r="D619" t="s">
        <v>4636</v>
      </c>
      <c r="E619" t="s">
        <v>4637</v>
      </c>
      <c r="F619" t="s">
        <v>2811</v>
      </c>
      <c r="G619" t="s">
        <v>6210</v>
      </c>
      <c r="H619">
        <v>74184</v>
      </c>
      <c r="I619" t="s">
        <v>1947</v>
      </c>
      <c r="J619" t="s">
        <v>1212</v>
      </c>
    </row>
    <row r="620" spans="1:10" x14ac:dyDescent="0.25">
      <c r="A620" t="s">
        <v>1214</v>
      </c>
      <c r="B620" t="s">
        <v>4638</v>
      </c>
      <c r="C620" t="s">
        <v>4639</v>
      </c>
      <c r="D620" t="s">
        <v>4640</v>
      </c>
      <c r="E620" t="s">
        <v>4641</v>
      </c>
      <c r="F620" t="s">
        <v>2033</v>
      </c>
      <c r="G620" t="s">
        <v>6210</v>
      </c>
      <c r="H620">
        <v>10045</v>
      </c>
      <c r="I620" t="s">
        <v>1938</v>
      </c>
      <c r="J620" t="s">
        <v>1214</v>
      </c>
    </row>
    <row r="621" spans="1:10" x14ac:dyDescent="0.25">
      <c r="A621" t="s">
        <v>1216</v>
      </c>
      <c r="B621" t="s">
        <v>4642</v>
      </c>
      <c r="C621" t="s">
        <v>4643</v>
      </c>
      <c r="D621" t="s">
        <v>4644</v>
      </c>
      <c r="E621" t="s">
        <v>4645</v>
      </c>
      <c r="F621" t="s">
        <v>4646</v>
      </c>
      <c r="G621" t="s">
        <v>6210</v>
      </c>
      <c r="H621">
        <v>34642</v>
      </c>
      <c r="I621" t="s">
        <v>1938</v>
      </c>
      <c r="J621" t="s">
        <v>1216</v>
      </c>
    </row>
    <row r="622" spans="1:10" x14ac:dyDescent="0.25">
      <c r="A622" t="s">
        <v>4647</v>
      </c>
      <c r="B622" t="s">
        <v>4648</v>
      </c>
      <c r="C622" t="s">
        <v>4649</v>
      </c>
      <c r="D622" t="s">
        <v>4650</v>
      </c>
      <c r="E622" t="s">
        <v>4651</v>
      </c>
      <c r="F622" t="s">
        <v>3913</v>
      </c>
      <c r="G622" t="s">
        <v>1945</v>
      </c>
      <c r="H622" t="s">
        <v>3914</v>
      </c>
      <c r="I622" t="s">
        <v>1947</v>
      </c>
      <c r="J622" t="s">
        <v>4647</v>
      </c>
    </row>
    <row r="623" spans="1:10" x14ac:dyDescent="0.25">
      <c r="A623" t="s">
        <v>1220</v>
      </c>
      <c r="B623" t="s">
        <v>4652</v>
      </c>
      <c r="C623" t="s">
        <v>4653</v>
      </c>
      <c r="D623" t="s">
        <v>4654</v>
      </c>
      <c r="E623" t="s">
        <v>4655</v>
      </c>
      <c r="F623" t="s">
        <v>2018</v>
      </c>
      <c r="G623" t="s">
        <v>6210</v>
      </c>
      <c r="H623">
        <v>97296</v>
      </c>
      <c r="I623" t="s">
        <v>1947</v>
      </c>
      <c r="J623" t="s">
        <v>1220</v>
      </c>
    </row>
    <row r="624" spans="1:10" x14ac:dyDescent="0.25">
      <c r="A624" t="s">
        <v>1222</v>
      </c>
      <c r="B624" t="s">
        <v>4656</v>
      </c>
      <c r="C624" t="s">
        <v>4657</v>
      </c>
      <c r="E624" t="s">
        <v>4658</v>
      </c>
      <c r="F624" t="s">
        <v>3365</v>
      </c>
      <c r="G624" t="s">
        <v>6210</v>
      </c>
      <c r="H624">
        <v>89115</v>
      </c>
      <c r="I624" t="s">
        <v>1947</v>
      </c>
      <c r="J624" t="s">
        <v>1222</v>
      </c>
    </row>
    <row r="625" spans="1:10" x14ac:dyDescent="0.25">
      <c r="A625" t="s">
        <v>1224</v>
      </c>
      <c r="B625" t="s">
        <v>4659</v>
      </c>
      <c r="D625" t="s">
        <v>4660</v>
      </c>
      <c r="E625" t="s">
        <v>4661</v>
      </c>
      <c r="F625" t="s">
        <v>4662</v>
      </c>
      <c r="G625" t="s">
        <v>2112</v>
      </c>
      <c r="H625" t="s">
        <v>4663</v>
      </c>
      <c r="I625" t="s">
        <v>1947</v>
      </c>
      <c r="J625" t="s">
        <v>1224</v>
      </c>
    </row>
    <row r="626" spans="1:10" x14ac:dyDescent="0.25">
      <c r="A626" t="s">
        <v>1226</v>
      </c>
      <c r="B626" t="s">
        <v>4664</v>
      </c>
      <c r="C626" t="s">
        <v>4665</v>
      </c>
      <c r="E626" t="s">
        <v>4666</v>
      </c>
      <c r="F626" t="s">
        <v>4667</v>
      </c>
      <c r="G626" t="s">
        <v>1945</v>
      </c>
      <c r="H626" t="s">
        <v>4668</v>
      </c>
      <c r="I626" t="s">
        <v>1938</v>
      </c>
      <c r="J626" t="s">
        <v>1226</v>
      </c>
    </row>
    <row r="627" spans="1:10" x14ac:dyDescent="0.25">
      <c r="A627" t="s">
        <v>1228</v>
      </c>
      <c r="B627" t="s">
        <v>4669</v>
      </c>
      <c r="C627" t="s">
        <v>4670</v>
      </c>
      <c r="D627" t="s">
        <v>4671</v>
      </c>
      <c r="E627" t="s">
        <v>4672</v>
      </c>
      <c r="F627" t="s">
        <v>3085</v>
      </c>
      <c r="G627" t="s">
        <v>6210</v>
      </c>
      <c r="H627">
        <v>94159</v>
      </c>
      <c r="I627" t="s">
        <v>1947</v>
      </c>
      <c r="J627" t="s">
        <v>1228</v>
      </c>
    </row>
    <row r="628" spans="1:10" x14ac:dyDescent="0.25">
      <c r="A628" t="s">
        <v>1230</v>
      </c>
      <c r="B628" t="s">
        <v>4673</v>
      </c>
      <c r="C628" t="s">
        <v>4674</v>
      </c>
      <c r="D628" t="s">
        <v>4675</v>
      </c>
      <c r="E628" t="s">
        <v>4676</v>
      </c>
      <c r="F628" t="s">
        <v>4590</v>
      </c>
      <c r="G628" t="s">
        <v>6210</v>
      </c>
      <c r="H628">
        <v>15274</v>
      </c>
      <c r="I628" t="s">
        <v>1947</v>
      </c>
      <c r="J628" t="s">
        <v>1230</v>
      </c>
    </row>
    <row r="629" spans="1:10" x14ac:dyDescent="0.25">
      <c r="A629" t="s">
        <v>1232</v>
      </c>
      <c r="B629" t="s">
        <v>4677</v>
      </c>
      <c r="C629" t="s">
        <v>4678</v>
      </c>
      <c r="D629" t="s">
        <v>4679</v>
      </c>
      <c r="E629" t="s">
        <v>4680</v>
      </c>
      <c r="F629" t="s">
        <v>2023</v>
      </c>
      <c r="G629" t="s">
        <v>6210</v>
      </c>
      <c r="H629">
        <v>77281</v>
      </c>
      <c r="I629" t="s">
        <v>1938</v>
      </c>
      <c r="J629" t="s">
        <v>1232</v>
      </c>
    </row>
    <row r="630" spans="1:10" x14ac:dyDescent="0.25">
      <c r="A630" t="s">
        <v>1234</v>
      </c>
      <c r="B630" t="s">
        <v>4681</v>
      </c>
      <c r="C630" t="s">
        <v>4682</v>
      </c>
      <c r="D630" t="s">
        <v>4683</v>
      </c>
      <c r="E630" t="s">
        <v>4684</v>
      </c>
      <c r="F630" t="s">
        <v>4685</v>
      </c>
      <c r="G630" t="s">
        <v>1945</v>
      </c>
      <c r="H630" t="s">
        <v>2028</v>
      </c>
      <c r="I630" t="s">
        <v>1938</v>
      </c>
      <c r="J630" t="s">
        <v>1234</v>
      </c>
    </row>
    <row r="631" spans="1:10" x14ac:dyDescent="0.25">
      <c r="A631" t="s">
        <v>1218</v>
      </c>
      <c r="B631" t="s">
        <v>4686</v>
      </c>
      <c r="C631" t="s">
        <v>4687</v>
      </c>
      <c r="E631" t="s">
        <v>4688</v>
      </c>
      <c r="F631" t="s">
        <v>2187</v>
      </c>
      <c r="G631" t="s">
        <v>6210</v>
      </c>
      <c r="H631">
        <v>33345</v>
      </c>
      <c r="I631" t="s">
        <v>1947</v>
      </c>
      <c r="J631" t="s">
        <v>1218</v>
      </c>
    </row>
    <row r="632" spans="1:10" x14ac:dyDescent="0.25">
      <c r="A632" t="s">
        <v>4689</v>
      </c>
      <c r="B632" t="s">
        <v>4690</v>
      </c>
      <c r="C632" t="s">
        <v>4691</v>
      </c>
      <c r="D632" t="s">
        <v>4692</v>
      </c>
      <c r="E632" t="s">
        <v>4693</v>
      </c>
      <c r="F632" t="s">
        <v>3174</v>
      </c>
      <c r="G632" t="s">
        <v>6210</v>
      </c>
      <c r="H632">
        <v>76210</v>
      </c>
      <c r="I632" t="s">
        <v>1947</v>
      </c>
      <c r="J632" t="s">
        <v>4689</v>
      </c>
    </row>
    <row r="633" spans="1:10" x14ac:dyDescent="0.25">
      <c r="A633" t="s">
        <v>4694</v>
      </c>
      <c r="B633" t="s">
        <v>4695</v>
      </c>
      <c r="C633" t="s">
        <v>4696</v>
      </c>
      <c r="D633" t="s">
        <v>4697</v>
      </c>
      <c r="E633" t="s">
        <v>4698</v>
      </c>
      <c r="F633" t="s">
        <v>3962</v>
      </c>
      <c r="G633" t="s">
        <v>1945</v>
      </c>
      <c r="H633" t="s">
        <v>2766</v>
      </c>
      <c r="I633" t="s">
        <v>1938</v>
      </c>
      <c r="J633" t="s">
        <v>4694</v>
      </c>
    </row>
    <row r="634" spans="1:10" x14ac:dyDescent="0.25">
      <c r="A634" t="s">
        <v>1236</v>
      </c>
      <c r="B634" t="s">
        <v>4699</v>
      </c>
      <c r="C634" t="s">
        <v>4700</v>
      </c>
      <c r="D634" t="s">
        <v>4701</v>
      </c>
      <c r="E634" t="s">
        <v>4702</v>
      </c>
      <c r="F634" t="s">
        <v>1982</v>
      </c>
      <c r="G634" t="s">
        <v>6210</v>
      </c>
      <c r="H634">
        <v>90005</v>
      </c>
      <c r="I634" t="s">
        <v>1947</v>
      </c>
      <c r="J634" t="s">
        <v>1236</v>
      </c>
    </row>
    <row r="635" spans="1:10" x14ac:dyDescent="0.25">
      <c r="A635" t="s">
        <v>1238</v>
      </c>
      <c r="B635" t="s">
        <v>4703</v>
      </c>
      <c r="C635" t="s">
        <v>4704</v>
      </c>
      <c r="D635" t="s">
        <v>4705</v>
      </c>
      <c r="E635" t="s">
        <v>4706</v>
      </c>
      <c r="F635" t="s">
        <v>2999</v>
      </c>
      <c r="G635" t="s">
        <v>6210</v>
      </c>
      <c r="H635">
        <v>18706</v>
      </c>
      <c r="I635" t="s">
        <v>1947</v>
      </c>
      <c r="J635" t="s">
        <v>1238</v>
      </c>
    </row>
    <row r="636" spans="1:10" x14ac:dyDescent="0.25">
      <c r="A636" t="s">
        <v>1240</v>
      </c>
      <c r="B636" t="s">
        <v>4707</v>
      </c>
      <c r="C636" t="s">
        <v>4708</v>
      </c>
      <c r="D636" t="s">
        <v>4709</v>
      </c>
      <c r="E636" t="s">
        <v>4710</v>
      </c>
      <c r="F636" t="s">
        <v>3174</v>
      </c>
      <c r="G636" t="s">
        <v>6210</v>
      </c>
      <c r="H636">
        <v>76205</v>
      </c>
      <c r="I636" t="s">
        <v>1947</v>
      </c>
      <c r="J636" t="s">
        <v>1240</v>
      </c>
    </row>
    <row r="637" spans="1:10" x14ac:dyDescent="0.25">
      <c r="A637" t="s">
        <v>1242</v>
      </c>
      <c r="B637" t="s">
        <v>4711</v>
      </c>
      <c r="C637" t="s">
        <v>4712</v>
      </c>
      <c r="D637" t="s">
        <v>4713</v>
      </c>
      <c r="E637" t="s">
        <v>4714</v>
      </c>
      <c r="F637" t="s">
        <v>2952</v>
      </c>
      <c r="G637" t="s">
        <v>6210</v>
      </c>
      <c r="H637">
        <v>64082</v>
      </c>
      <c r="I637" t="s">
        <v>1938</v>
      </c>
      <c r="J637" t="s">
        <v>1242</v>
      </c>
    </row>
    <row r="638" spans="1:10" x14ac:dyDescent="0.25">
      <c r="A638" t="s">
        <v>1244</v>
      </c>
      <c r="B638" t="s">
        <v>4715</v>
      </c>
      <c r="C638" t="s">
        <v>4716</v>
      </c>
      <c r="D638" t="s">
        <v>4717</v>
      </c>
      <c r="E638" t="s">
        <v>4718</v>
      </c>
      <c r="F638" t="s">
        <v>2123</v>
      </c>
      <c r="G638" t="s">
        <v>6210</v>
      </c>
      <c r="H638">
        <v>72209</v>
      </c>
      <c r="I638" t="s">
        <v>1938</v>
      </c>
      <c r="J638" t="s">
        <v>1244</v>
      </c>
    </row>
    <row r="639" spans="1:10" x14ac:dyDescent="0.25">
      <c r="A639" t="s">
        <v>1246</v>
      </c>
      <c r="B639" t="s">
        <v>4719</v>
      </c>
      <c r="C639" t="s">
        <v>4720</v>
      </c>
      <c r="D639" t="s">
        <v>4721</v>
      </c>
      <c r="E639" t="s">
        <v>4722</v>
      </c>
      <c r="F639" t="s">
        <v>4723</v>
      </c>
      <c r="G639" t="s">
        <v>1945</v>
      </c>
      <c r="H639" t="s">
        <v>2826</v>
      </c>
      <c r="I639" t="s">
        <v>1938</v>
      </c>
      <c r="J639" t="s">
        <v>1246</v>
      </c>
    </row>
    <row r="640" spans="1:10" x14ac:dyDescent="0.25">
      <c r="A640" t="s">
        <v>1248</v>
      </c>
      <c r="B640" t="s">
        <v>4724</v>
      </c>
      <c r="D640" t="s">
        <v>4725</v>
      </c>
      <c r="E640" t="s">
        <v>4726</v>
      </c>
      <c r="F640" t="s">
        <v>4411</v>
      </c>
      <c r="G640" t="s">
        <v>1945</v>
      </c>
      <c r="H640" t="s">
        <v>4412</v>
      </c>
      <c r="I640" t="s">
        <v>1938</v>
      </c>
      <c r="J640" t="s">
        <v>1248</v>
      </c>
    </row>
    <row r="641" spans="1:10" x14ac:dyDescent="0.25">
      <c r="A641" t="s">
        <v>1250</v>
      </c>
      <c r="B641" t="s">
        <v>4727</v>
      </c>
      <c r="C641" t="s">
        <v>4728</v>
      </c>
      <c r="D641" t="s">
        <v>4729</v>
      </c>
      <c r="E641" t="s">
        <v>4730</v>
      </c>
      <c r="F641" t="s">
        <v>3138</v>
      </c>
      <c r="G641" t="s">
        <v>6210</v>
      </c>
      <c r="H641">
        <v>16534</v>
      </c>
      <c r="I641" t="s">
        <v>1938</v>
      </c>
      <c r="J641" t="s">
        <v>1250</v>
      </c>
    </row>
    <row r="642" spans="1:10" x14ac:dyDescent="0.25">
      <c r="A642" t="s">
        <v>4731</v>
      </c>
      <c r="B642" t="s">
        <v>4732</v>
      </c>
      <c r="D642" t="s">
        <v>4733</v>
      </c>
      <c r="E642" t="s">
        <v>4734</v>
      </c>
      <c r="F642" t="s">
        <v>3159</v>
      </c>
      <c r="G642" t="s">
        <v>2112</v>
      </c>
      <c r="H642" t="s">
        <v>3160</v>
      </c>
      <c r="I642" t="s">
        <v>1947</v>
      </c>
      <c r="J642" t="s">
        <v>4731</v>
      </c>
    </row>
    <row r="643" spans="1:10" x14ac:dyDescent="0.25">
      <c r="A643" t="s">
        <v>1254</v>
      </c>
      <c r="B643" t="s">
        <v>4735</v>
      </c>
      <c r="C643" t="s">
        <v>4736</v>
      </c>
      <c r="D643" t="s">
        <v>4737</v>
      </c>
      <c r="E643" t="s">
        <v>4738</v>
      </c>
      <c r="F643" t="s">
        <v>4590</v>
      </c>
      <c r="G643" t="s">
        <v>6210</v>
      </c>
      <c r="H643">
        <v>15255</v>
      </c>
      <c r="I643" t="s">
        <v>1938</v>
      </c>
      <c r="J643" t="s">
        <v>1254</v>
      </c>
    </row>
    <row r="644" spans="1:10" x14ac:dyDescent="0.25">
      <c r="A644" t="s">
        <v>1256</v>
      </c>
      <c r="B644" t="s">
        <v>4739</v>
      </c>
      <c r="C644" t="s">
        <v>4740</v>
      </c>
      <c r="D644" t="s">
        <v>4741</v>
      </c>
      <c r="E644" t="s">
        <v>4742</v>
      </c>
      <c r="F644" t="s">
        <v>4743</v>
      </c>
      <c r="G644" t="s">
        <v>2112</v>
      </c>
      <c r="H644" t="s">
        <v>4744</v>
      </c>
      <c r="I644" t="s">
        <v>1938</v>
      </c>
      <c r="J644" t="s">
        <v>1256</v>
      </c>
    </row>
    <row r="645" spans="1:10" x14ac:dyDescent="0.25">
      <c r="A645" t="s">
        <v>1258</v>
      </c>
      <c r="B645" t="s">
        <v>4745</v>
      </c>
      <c r="C645" t="s">
        <v>4746</v>
      </c>
      <c r="E645" t="s">
        <v>4747</v>
      </c>
      <c r="F645" t="s">
        <v>2321</v>
      </c>
      <c r="G645" t="s">
        <v>6210</v>
      </c>
      <c r="H645">
        <v>75260</v>
      </c>
      <c r="I645" t="s">
        <v>1938</v>
      </c>
      <c r="J645" t="s">
        <v>1258</v>
      </c>
    </row>
    <row r="646" spans="1:10" x14ac:dyDescent="0.25">
      <c r="A646" t="s">
        <v>1260</v>
      </c>
      <c r="B646" t="s">
        <v>4748</v>
      </c>
      <c r="D646" t="s">
        <v>4749</v>
      </c>
      <c r="E646" t="s">
        <v>4750</v>
      </c>
      <c r="F646" t="s">
        <v>3576</v>
      </c>
      <c r="G646" t="s">
        <v>6210</v>
      </c>
      <c r="H646">
        <v>33233</v>
      </c>
      <c r="I646" t="s">
        <v>1947</v>
      </c>
      <c r="J646" t="s">
        <v>1260</v>
      </c>
    </row>
    <row r="647" spans="1:10" x14ac:dyDescent="0.25">
      <c r="A647" t="s">
        <v>1262</v>
      </c>
      <c r="B647" t="s">
        <v>4751</v>
      </c>
      <c r="C647" t="s">
        <v>4752</v>
      </c>
      <c r="D647" t="s">
        <v>4753</v>
      </c>
      <c r="E647" t="s">
        <v>4754</v>
      </c>
      <c r="F647" t="s">
        <v>4755</v>
      </c>
      <c r="G647" t="s">
        <v>6210</v>
      </c>
      <c r="H647">
        <v>76905</v>
      </c>
      <c r="I647" t="s">
        <v>1938</v>
      </c>
      <c r="J647" t="s">
        <v>1262</v>
      </c>
    </row>
    <row r="648" spans="1:10" x14ac:dyDescent="0.25">
      <c r="A648" t="s">
        <v>1264</v>
      </c>
      <c r="B648" t="s">
        <v>4756</v>
      </c>
      <c r="C648" t="s">
        <v>4757</v>
      </c>
      <c r="D648" t="s">
        <v>4758</v>
      </c>
      <c r="E648" t="s">
        <v>4759</v>
      </c>
      <c r="F648" t="s">
        <v>2876</v>
      </c>
      <c r="G648" t="s">
        <v>6210</v>
      </c>
      <c r="H648">
        <v>12205</v>
      </c>
      <c r="I648" t="s">
        <v>1938</v>
      </c>
      <c r="J648" t="s">
        <v>1264</v>
      </c>
    </row>
    <row r="649" spans="1:10" x14ac:dyDescent="0.25">
      <c r="A649" t="s">
        <v>1266</v>
      </c>
      <c r="B649" t="s">
        <v>4760</v>
      </c>
      <c r="C649" t="s">
        <v>4761</v>
      </c>
      <c r="D649" t="s">
        <v>4762</v>
      </c>
      <c r="E649" t="s">
        <v>4763</v>
      </c>
      <c r="F649" t="s">
        <v>4764</v>
      </c>
      <c r="G649" t="s">
        <v>2112</v>
      </c>
      <c r="H649" t="s">
        <v>4765</v>
      </c>
      <c r="I649" t="s">
        <v>1938</v>
      </c>
      <c r="J649" t="s">
        <v>1266</v>
      </c>
    </row>
    <row r="650" spans="1:10" x14ac:dyDescent="0.25">
      <c r="A650" t="s">
        <v>1252</v>
      </c>
      <c r="B650" t="s">
        <v>4766</v>
      </c>
      <c r="C650" t="s">
        <v>4767</v>
      </c>
      <c r="D650" t="s">
        <v>4768</v>
      </c>
      <c r="E650" t="s">
        <v>4769</v>
      </c>
      <c r="F650" t="s">
        <v>2283</v>
      </c>
      <c r="G650" t="s">
        <v>6210</v>
      </c>
      <c r="H650">
        <v>43240</v>
      </c>
      <c r="I650" t="s">
        <v>1947</v>
      </c>
      <c r="J650" t="s">
        <v>1252</v>
      </c>
    </row>
    <row r="651" spans="1:10" x14ac:dyDescent="0.25">
      <c r="A651" t="s">
        <v>1269</v>
      </c>
      <c r="B651" t="s">
        <v>4770</v>
      </c>
      <c r="C651" t="s">
        <v>4771</v>
      </c>
      <c r="D651" t="s">
        <v>4772</v>
      </c>
      <c r="E651" t="s">
        <v>4773</v>
      </c>
      <c r="F651" t="s">
        <v>4774</v>
      </c>
      <c r="G651" t="s">
        <v>2112</v>
      </c>
      <c r="H651" t="s">
        <v>4775</v>
      </c>
      <c r="I651" t="s">
        <v>1947</v>
      </c>
      <c r="J651" t="s">
        <v>1269</v>
      </c>
    </row>
    <row r="652" spans="1:10" x14ac:dyDescent="0.25">
      <c r="A652" t="s">
        <v>1271</v>
      </c>
      <c r="B652" t="s">
        <v>4776</v>
      </c>
      <c r="C652" t="s">
        <v>4777</v>
      </c>
      <c r="D652" t="s">
        <v>4778</v>
      </c>
      <c r="E652" t="s">
        <v>4779</v>
      </c>
      <c r="F652" t="s">
        <v>2379</v>
      </c>
      <c r="G652" t="s">
        <v>6210</v>
      </c>
      <c r="H652">
        <v>92883</v>
      </c>
      <c r="I652" t="s">
        <v>1938</v>
      </c>
      <c r="J652" t="s">
        <v>1271</v>
      </c>
    </row>
    <row r="653" spans="1:10" x14ac:dyDescent="0.25">
      <c r="A653" t="s">
        <v>1273</v>
      </c>
      <c r="B653" t="s">
        <v>4780</v>
      </c>
      <c r="D653" t="s">
        <v>4781</v>
      </c>
      <c r="E653" t="s">
        <v>4782</v>
      </c>
      <c r="F653" t="s">
        <v>2182</v>
      </c>
      <c r="G653" t="s">
        <v>6210</v>
      </c>
      <c r="H653">
        <v>20436</v>
      </c>
      <c r="I653" t="s">
        <v>1947</v>
      </c>
      <c r="J653" t="s">
        <v>1273</v>
      </c>
    </row>
    <row r="654" spans="1:10" x14ac:dyDescent="0.25">
      <c r="A654" t="s">
        <v>1275</v>
      </c>
      <c r="B654" t="s">
        <v>4783</v>
      </c>
      <c r="C654" t="s">
        <v>4784</v>
      </c>
      <c r="E654" t="s">
        <v>4785</v>
      </c>
      <c r="F654" t="s">
        <v>4786</v>
      </c>
      <c r="G654" t="s">
        <v>1945</v>
      </c>
      <c r="H654" t="s">
        <v>1946</v>
      </c>
      <c r="I654" t="s">
        <v>1947</v>
      </c>
      <c r="J654" t="s">
        <v>1275</v>
      </c>
    </row>
    <row r="655" spans="1:10" x14ac:dyDescent="0.25">
      <c r="A655" t="s">
        <v>1277</v>
      </c>
      <c r="B655" t="s">
        <v>4787</v>
      </c>
      <c r="C655" t="s">
        <v>4788</v>
      </c>
      <c r="D655" t="s">
        <v>4789</v>
      </c>
      <c r="E655" t="s">
        <v>4790</v>
      </c>
      <c r="F655" t="s">
        <v>2207</v>
      </c>
      <c r="G655" t="s">
        <v>6210</v>
      </c>
      <c r="H655">
        <v>43610</v>
      </c>
      <c r="I655" t="s">
        <v>1947</v>
      </c>
      <c r="J655" t="s">
        <v>1277</v>
      </c>
    </row>
    <row r="656" spans="1:10" x14ac:dyDescent="0.25">
      <c r="A656" t="s">
        <v>1279</v>
      </c>
      <c r="B656" t="s">
        <v>4791</v>
      </c>
      <c r="C656" t="s">
        <v>4792</v>
      </c>
      <c r="D656" t="s">
        <v>4793</v>
      </c>
      <c r="E656" t="s">
        <v>4794</v>
      </c>
      <c r="F656" t="s">
        <v>2182</v>
      </c>
      <c r="G656" t="s">
        <v>6210</v>
      </c>
      <c r="H656">
        <v>20088</v>
      </c>
      <c r="I656" t="s">
        <v>1947</v>
      </c>
      <c r="J656" t="s">
        <v>1279</v>
      </c>
    </row>
    <row r="657" spans="1:10" x14ac:dyDescent="0.25">
      <c r="A657" t="s">
        <v>1281</v>
      </c>
      <c r="B657" t="s">
        <v>4795</v>
      </c>
      <c r="C657" t="s">
        <v>4796</v>
      </c>
      <c r="E657" t="s">
        <v>4797</v>
      </c>
      <c r="F657" t="s">
        <v>4798</v>
      </c>
      <c r="G657" t="s">
        <v>6210</v>
      </c>
      <c r="H657">
        <v>52405</v>
      </c>
      <c r="I657" t="s">
        <v>1938</v>
      </c>
      <c r="J657" t="s">
        <v>1281</v>
      </c>
    </row>
    <row r="658" spans="1:10" x14ac:dyDescent="0.25">
      <c r="A658" t="s">
        <v>1283</v>
      </c>
      <c r="B658" t="s">
        <v>4799</v>
      </c>
      <c r="C658" t="s">
        <v>4800</v>
      </c>
      <c r="E658" t="s">
        <v>4801</v>
      </c>
      <c r="F658" t="s">
        <v>2089</v>
      </c>
      <c r="G658" t="s">
        <v>6210</v>
      </c>
      <c r="H658">
        <v>80045</v>
      </c>
      <c r="I658" t="s">
        <v>1947</v>
      </c>
      <c r="J658" t="s">
        <v>1283</v>
      </c>
    </row>
    <row r="659" spans="1:10" x14ac:dyDescent="0.25">
      <c r="A659" t="s">
        <v>1285</v>
      </c>
      <c r="B659" t="s">
        <v>4802</v>
      </c>
      <c r="C659" t="s">
        <v>4803</v>
      </c>
      <c r="D659" t="s">
        <v>4804</v>
      </c>
      <c r="E659" t="s">
        <v>4805</v>
      </c>
      <c r="F659" t="s">
        <v>4806</v>
      </c>
      <c r="G659" t="s">
        <v>6210</v>
      </c>
      <c r="H659">
        <v>94089</v>
      </c>
      <c r="I659" t="s">
        <v>1938</v>
      </c>
      <c r="J659" t="s">
        <v>1285</v>
      </c>
    </row>
    <row r="660" spans="1:10" x14ac:dyDescent="0.25">
      <c r="A660" t="s">
        <v>4807</v>
      </c>
      <c r="B660" t="s">
        <v>4808</v>
      </c>
      <c r="E660" t="s">
        <v>4809</v>
      </c>
      <c r="F660" t="s">
        <v>4350</v>
      </c>
      <c r="G660" t="s">
        <v>1945</v>
      </c>
      <c r="H660" t="s">
        <v>4351</v>
      </c>
      <c r="I660" t="s">
        <v>1938</v>
      </c>
      <c r="J660" t="s">
        <v>4807</v>
      </c>
    </row>
    <row r="661" spans="1:10" x14ac:dyDescent="0.25">
      <c r="A661" t="s">
        <v>1289</v>
      </c>
      <c r="B661" t="s">
        <v>4810</v>
      </c>
      <c r="C661" t="s">
        <v>4811</v>
      </c>
      <c r="D661" t="s">
        <v>4812</v>
      </c>
      <c r="E661" t="s">
        <v>4813</v>
      </c>
      <c r="F661" t="s">
        <v>4814</v>
      </c>
      <c r="G661" t="s">
        <v>1945</v>
      </c>
      <c r="H661" t="s">
        <v>4412</v>
      </c>
      <c r="I661" t="s">
        <v>1938</v>
      </c>
      <c r="J661" t="s">
        <v>1289</v>
      </c>
    </row>
    <row r="662" spans="1:10" x14ac:dyDescent="0.25">
      <c r="A662" t="s">
        <v>1291</v>
      </c>
      <c r="B662" t="s">
        <v>4815</v>
      </c>
      <c r="C662" t="s">
        <v>4816</v>
      </c>
      <c r="D662" t="s">
        <v>4817</v>
      </c>
      <c r="E662" t="s">
        <v>4818</v>
      </c>
      <c r="F662" t="s">
        <v>2795</v>
      </c>
      <c r="G662" t="s">
        <v>6210</v>
      </c>
      <c r="H662">
        <v>48930</v>
      </c>
      <c r="I662" t="s">
        <v>1947</v>
      </c>
      <c r="J662" t="s">
        <v>1291</v>
      </c>
    </row>
    <row r="663" spans="1:10" x14ac:dyDescent="0.25">
      <c r="A663" t="s">
        <v>1293</v>
      </c>
      <c r="B663" t="s">
        <v>4819</v>
      </c>
      <c r="C663" t="s">
        <v>4820</v>
      </c>
      <c r="D663" t="s">
        <v>4821</v>
      </c>
      <c r="E663" t="s">
        <v>4822</v>
      </c>
      <c r="F663" t="s">
        <v>2023</v>
      </c>
      <c r="G663" t="s">
        <v>6210</v>
      </c>
      <c r="H663">
        <v>77281</v>
      </c>
      <c r="I663" t="s">
        <v>1938</v>
      </c>
      <c r="J663" t="s">
        <v>1293</v>
      </c>
    </row>
    <row r="664" spans="1:10" x14ac:dyDescent="0.25">
      <c r="A664" t="s">
        <v>1295</v>
      </c>
      <c r="B664" t="s">
        <v>4823</v>
      </c>
      <c r="C664" t="s">
        <v>4824</v>
      </c>
      <c r="E664" t="s">
        <v>4825</v>
      </c>
      <c r="F664" t="s">
        <v>4826</v>
      </c>
      <c r="G664" t="s">
        <v>6210</v>
      </c>
      <c r="H664">
        <v>37131</v>
      </c>
      <c r="I664" t="s">
        <v>1947</v>
      </c>
      <c r="J664" t="s">
        <v>1295</v>
      </c>
    </row>
    <row r="665" spans="1:10" x14ac:dyDescent="0.25">
      <c r="A665" t="s">
        <v>1297</v>
      </c>
      <c r="B665" t="s">
        <v>4827</v>
      </c>
      <c r="C665" t="s">
        <v>4828</v>
      </c>
      <c r="E665" t="s">
        <v>4829</v>
      </c>
      <c r="F665" t="s">
        <v>2118</v>
      </c>
      <c r="G665" t="s">
        <v>6210</v>
      </c>
      <c r="H665">
        <v>25362</v>
      </c>
      <c r="I665" t="s">
        <v>1947</v>
      </c>
      <c r="J665" t="s">
        <v>1297</v>
      </c>
    </row>
    <row r="666" spans="1:10" x14ac:dyDescent="0.25">
      <c r="A666" t="s">
        <v>1299</v>
      </c>
      <c r="B666" t="s">
        <v>4830</v>
      </c>
      <c r="C666" t="s">
        <v>4831</v>
      </c>
      <c r="D666" t="s">
        <v>4832</v>
      </c>
      <c r="E666" t="s">
        <v>4833</v>
      </c>
      <c r="F666" t="s">
        <v>3138</v>
      </c>
      <c r="G666" t="s">
        <v>6210</v>
      </c>
      <c r="H666">
        <v>16534</v>
      </c>
      <c r="I666" t="s">
        <v>1947</v>
      </c>
      <c r="J666" t="s">
        <v>1299</v>
      </c>
    </row>
    <row r="667" spans="1:10" x14ac:dyDescent="0.25">
      <c r="A667" t="s">
        <v>4834</v>
      </c>
      <c r="B667" t="s">
        <v>4835</v>
      </c>
      <c r="C667" t="s">
        <v>4836</v>
      </c>
      <c r="D667" t="s">
        <v>4837</v>
      </c>
      <c r="E667" t="s">
        <v>4838</v>
      </c>
      <c r="F667" t="s">
        <v>3853</v>
      </c>
      <c r="G667" t="s">
        <v>6210</v>
      </c>
      <c r="H667">
        <v>39204</v>
      </c>
      <c r="I667" t="s">
        <v>1938</v>
      </c>
      <c r="J667" t="s">
        <v>4834</v>
      </c>
    </row>
    <row r="668" spans="1:10" x14ac:dyDescent="0.25">
      <c r="A668" t="s">
        <v>1301</v>
      </c>
      <c r="B668" t="s">
        <v>4839</v>
      </c>
      <c r="C668" t="s">
        <v>4840</v>
      </c>
      <c r="D668" t="s">
        <v>4841</v>
      </c>
      <c r="E668" t="s">
        <v>4842</v>
      </c>
      <c r="F668" t="s">
        <v>2896</v>
      </c>
      <c r="G668" t="s">
        <v>6210</v>
      </c>
      <c r="H668">
        <v>79491</v>
      </c>
      <c r="I668" t="s">
        <v>1947</v>
      </c>
      <c r="J668" t="s">
        <v>1301</v>
      </c>
    </row>
    <row r="669" spans="1:10" x14ac:dyDescent="0.25">
      <c r="A669" t="s">
        <v>1303</v>
      </c>
      <c r="B669" t="s">
        <v>4843</v>
      </c>
      <c r="C669" t="s">
        <v>4844</v>
      </c>
      <c r="D669" t="s">
        <v>4845</v>
      </c>
      <c r="E669" t="s">
        <v>4846</v>
      </c>
      <c r="F669" t="s">
        <v>4847</v>
      </c>
      <c r="G669" t="s">
        <v>1945</v>
      </c>
      <c r="H669" t="s">
        <v>2085</v>
      </c>
      <c r="I669" t="s">
        <v>1947</v>
      </c>
      <c r="J669" t="s">
        <v>1303</v>
      </c>
    </row>
    <row r="670" spans="1:10" x14ac:dyDescent="0.25">
      <c r="A670" t="s">
        <v>1287</v>
      </c>
      <c r="B670" t="s">
        <v>4848</v>
      </c>
      <c r="C670" t="s">
        <v>4849</v>
      </c>
      <c r="D670" t="s">
        <v>4850</v>
      </c>
      <c r="E670" t="s">
        <v>4851</v>
      </c>
      <c r="F670" t="s">
        <v>4476</v>
      </c>
      <c r="G670" t="s">
        <v>6210</v>
      </c>
      <c r="H670">
        <v>27717</v>
      </c>
      <c r="I670" t="s">
        <v>1938</v>
      </c>
      <c r="J670" t="s">
        <v>1287</v>
      </c>
    </row>
    <row r="671" spans="1:10" x14ac:dyDescent="0.25">
      <c r="A671" t="s">
        <v>1306</v>
      </c>
      <c r="B671" t="s">
        <v>4852</v>
      </c>
      <c r="C671" t="s">
        <v>4853</v>
      </c>
      <c r="D671" t="s">
        <v>4854</v>
      </c>
      <c r="E671" t="s">
        <v>4855</v>
      </c>
      <c r="F671" t="s">
        <v>4856</v>
      </c>
      <c r="G671" t="s">
        <v>6210</v>
      </c>
      <c r="H671">
        <v>29505</v>
      </c>
      <c r="I671" t="s">
        <v>1947</v>
      </c>
      <c r="J671" t="s">
        <v>1306</v>
      </c>
    </row>
    <row r="672" spans="1:10" x14ac:dyDescent="0.25">
      <c r="A672" t="s">
        <v>1308</v>
      </c>
      <c r="B672" t="s">
        <v>4857</v>
      </c>
      <c r="C672" t="s">
        <v>4858</v>
      </c>
      <c r="D672" t="s">
        <v>4859</v>
      </c>
      <c r="E672" t="s">
        <v>4860</v>
      </c>
      <c r="F672" t="s">
        <v>4861</v>
      </c>
      <c r="G672" t="s">
        <v>6210</v>
      </c>
      <c r="H672">
        <v>13205</v>
      </c>
      <c r="I672" t="s">
        <v>1938</v>
      </c>
      <c r="J672" t="s">
        <v>1308</v>
      </c>
    </row>
    <row r="673" spans="1:10" x14ac:dyDescent="0.25">
      <c r="A673" t="s">
        <v>1310</v>
      </c>
      <c r="B673" t="s">
        <v>4862</v>
      </c>
      <c r="C673" t="s">
        <v>4863</v>
      </c>
      <c r="D673" t="s">
        <v>4864</v>
      </c>
      <c r="E673" t="s">
        <v>4865</v>
      </c>
      <c r="F673" t="s">
        <v>3677</v>
      </c>
      <c r="G673" t="s">
        <v>6210</v>
      </c>
      <c r="H673">
        <v>30245</v>
      </c>
      <c r="I673" t="s">
        <v>1947</v>
      </c>
      <c r="J673" t="s">
        <v>1310</v>
      </c>
    </row>
    <row r="674" spans="1:10" x14ac:dyDescent="0.25">
      <c r="A674" t="s">
        <v>1312</v>
      </c>
      <c r="B674" t="s">
        <v>4866</v>
      </c>
      <c r="C674" t="s">
        <v>4867</v>
      </c>
      <c r="E674" t="s">
        <v>4868</v>
      </c>
      <c r="F674" t="s">
        <v>2023</v>
      </c>
      <c r="G674" t="s">
        <v>6210</v>
      </c>
      <c r="H674">
        <v>77070</v>
      </c>
      <c r="I674" t="s">
        <v>1938</v>
      </c>
      <c r="J674" t="s">
        <v>1312</v>
      </c>
    </row>
    <row r="675" spans="1:10" x14ac:dyDescent="0.25">
      <c r="A675" t="s">
        <v>1314</v>
      </c>
      <c r="B675" t="s">
        <v>4869</v>
      </c>
      <c r="C675" t="s">
        <v>4870</v>
      </c>
      <c r="D675" t="s">
        <v>4871</v>
      </c>
      <c r="E675" t="s">
        <v>4872</v>
      </c>
      <c r="F675" t="s">
        <v>2371</v>
      </c>
      <c r="G675" t="s">
        <v>6210</v>
      </c>
      <c r="H675">
        <v>66160</v>
      </c>
      <c r="I675" t="s">
        <v>1938</v>
      </c>
      <c r="J675" t="s">
        <v>1314</v>
      </c>
    </row>
    <row r="676" spans="1:10" x14ac:dyDescent="0.25">
      <c r="A676" t="s">
        <v>1316</v>
      </c>
      <c r="B676" t="s">
        <v>4873</v>
      </c>
      <c r="C676" t="s">
        <v>4874</v>
      </c>
      <c r="D676" t="s">
        <v>4875</v>
      </c>
      <c r="E676" t="s">
        <v>4876</v>
      </c>
      <c r="F676" t="s">
        <v>4877</v>
      </c>
      <c r="G676" t="s">
        <v>6210</v>
      </c>
      <c r="H676">
        <v>34282</v>
      </c>
      <c r="I676" t="s">
        <v>1938</v>
      </c>
      <c r="J676" t="s">
        <v>1316</v>
      </c>
    </row>
    <row r="677" spans="1:10" x14ac:dyDescent="0.25">
      <c r="A677" t="s">
        <v>1318</v>
      </c>
      <c r="B677" t="s">
        <v>4878</v>
      </c>
      <c r="D677" t="s">
        <v>4879</v>
      </c>
      <c r="E677" t="s">
        <v>4880</v>
      </c>
      <c r="F677" t="s">
        <v>4881</v>
      </c>
      <c r="G677" t="s">
        <v>6210</v>
      </c>
      <c r="H677">
        <v>18105</v>
      </c>
      <c r="I677" t="s">
        <v>1938</v>
      </c>
      <c r="J677" t="s">
        <v>1318</v>
      </c>
    </row>
    <row r="678" spans="1:10" x14ac:dyDescent="0.25">
      <c r="A678" t="s">
        <v>1320</v>
      </c>
      <c r="B678" t="s">
        <v>4882</v>
      </c>
      <c r="D678" t="s">
        <v>4883</v>
      </c>
      <c r="E678" t="s">
        <v>4884</v>
      </c>
      <c r="F678" t="s">
        <v>4885</v>
      </c>
      <c r="G678" t="s">
        <v>6210</v>
      </c>
      <c r="H678">
        <v>23663</v>
      </c>
      <c r="I678" t="s">
        <v>1947</v>
      </c>
      <c r="J678" t="s">
        <v>1320</v>
      </c>
    </row>
    <row r="679" spans="1:10" x14ac:dyDescent="0.25">
      <c r="A679" t="s">
        <v>1322</v>
      </c>
      <c r="B679" t="s">
        <v>4886</v>
      </c>
      <c r="C679" t="s">
        <v>4887</v>
      </c>
      <c r="D679" t="s">
        <v>4888</v>
      </c>
      <c r="E679" t="s">
        <v>4889</v>
      </c>
      <c r="F679" t="s">
        <v>3744</v>
      </c>
      <c r="G679" t="s">
        <v>1945</v>
      </c>
      <c r="H679" t="s">
        <v>3745</v>
      </c>
      <c r="I679" t="s">
        <v>1947</v>
      </c>
      <c r="J679" t="s">
        <v>1322</v>
      </c>
    </row>
    <row r="680" spans="1:10" x14ac:dyDescent="0.25">
      <c r="A680" t="s">
        <v>1324</v>
      </c>
      <c r="B680" t="s">
        <v>4890</v>
      </c>
      <c r="C680" t="s">
        <v>4891</v>
      </c>
      <c r="D680" t="s">
        <v>4892</v>
      </c>
      <c r="E680" t="s">
        <v>4893</v>
      </c>
      <c r="F680" t="s">
        <v>4894</v>
      </c>
      <c r="G680" t="s">
        <v>6210</v>
      </c>
      <c r="H680">
        <v>67260</v>
      </c>
      <c r="I680" t="s">
        <v>1938</v>
      </c>
      <c r="J680" t="s">
        <v>1324</v>
      </c>
    </row>
    <row r="681" spans="1:10" x14ac:dyDescent="0.25">
      <c r="A681" t="s">
        <v>1326</v>
      </c>
      <c r="B681" t="s">
        <v>4895</v>
      </c>
      <c r="C681" t="s">
        <v>4896</v>
      </c>
      <c r="D681" t="s">
        <v>4897</v>
      </c>
      <c r="E681" t="s">
        <v>4898</v>
      </c>
      <c r="F681" t="s">
        <v>4764</v>
      </c>
      <c r="G681" t="s">
        <v>2112</v>
      </c>
      <c r="H681" t="s">
        <v>4765</v>
      </c>
      <c r="I681" t="s">
        <v>1947</v>
      </c>
      <c r="J681" t="s">
        <v>1326</v>
      </c>
    </row>
    <row r="682" spans="1:10" x14ac:dyDescent="0.25">
      <c r="A682" t="s">
        <v>1328</v>
      </c>
      <c r="B682" t="s">
        <v>4899</v>
      </c>
      <c r="C682" t="s">
        <v>4900</v>
      </c>
      <c r="E682" t="s">
        <v>4901</v>
      </c>
      <c r="F682" t="s">
        <v>3278</v>
      </c>
      <c r="G682" t="s">
        <v>6210</v>
      </c>
      <c r="H682">
        <v>6816</v>
      </c>
      <c r="I682" t="s">
        <v>1947</v>
      </c>
      <c r="J682" t="s">
        <v>1328</v>
      </c>
    </row>
    <row r="683" spans="1:10" x14ac:dyDescent="0.25">
      <c r="A683" t="s">
        <v>1330</v>
      </c>
      <c r="B683" t="s">
        <v>4902</v>
      </c>
      <c r="C683" t="s">
        <v>4903</v>
      </c>
      <c r="D683" t="s">
        <v>4904</v>
      </c>
      <c r="E683" t="s">
        <v>4905</v>
      </c>
      <c r="F683" t="s">
        <v>2195</v>
      </c>
      <c r="G683" t="s">
        <v>2112</v>
      </c>
      <c r="H683" t="s">
        <v>2196</v>
      </c>
      <c r="I683" t="s">
        <v>1938</v>
      </c>
      <c r="J683" t="s">
        <v>1330</v>
      </c>
    </row>
    <row r="684" spans="1:10" x14ac:dyDescent="0.25">
      <c r="A684" t="s">
        <v>1332</v>
      </c>
      <c r="B684" t="s">
        <v>4906</v>
      </c>
      <c r="C684" t="s">
        <v>4907</v>
      </c>
      <c r="D684" t="s">
        <v>4908</v>
      </c>
      <c r="E684" t="s">
        <v>4909</v>
      </c>
      <c r="F684" t="s">
        <v>3483</v>
      </c>
      <c r="G684" t="s">
        <v>6210</v>
      </c>
      <c r="H684">
        <v>32209</v>
      </c>
      <c r="I684" t="s">
        <v>1938</v>
      </c>
      <c r="J684" t="s">
        <v>1332</v>
      </c>
    </row>
    <row r="685" spans="1:10" x14ac:dyDescent="0.25">
      <c r="A685" t="s">
        <v>1334</v>
      </c>
      <c r="B685" t="s">
        <v>4910</v>
      </c>
      <c r="C685" t="s">
        <v>4911</v>
      </c>
      <c r="D685" t="s">
        <v>4912</v>
      </c>
      <c r="E685" t="s">
        <v>4913</v>
      </c>
      <c r="F685" t="s">
        <v>2023</v>
      </c>
      <c r="G685" t="s">
        <v>6210</v>
      </c>
      <c r="H685">
        <v>77299</v>
      </c>
      <c r="I685" t="s">
        <v>1947</v>
      </c>
      <c r="J685" t="s">
        <v>1334</v>
      </c>
    </row>
    <row r="686" spans="1:10" x14ac:dyDescent="0.25">
      <c r="A686" t="s">
        <v>1336</v>
      </c>
      <c r="B686" t="s">
        <v>4914</v>
      </c>
      <c r="D686" t="s">
        <v>4915</v>
      </c>
      <c r="E686" t="s">
        <v>4916</v>
      </c>
      <c r="F686" t="s">
        <v>2018</v>
      </c>
      <c r="G686" t="s">
        <v>6210</v>
      </c>
      <c r="H686">
        <v>97255</v>
      </c>
      <c r="I686" t="s">
        <v>1947</v>
      </c>
      <c r="J686" t="s">
        <v>1336</v>
      </c>
    </row>
    <row r="687" spans="1:10" x14ac:dyDescent="0.25">
      <c r="A687" t="s">
        <v>1338</v>
      </c>
      <c r="B687" t="s">
        <v>4917</v>
      </c>
      <c r="C687" t="s">
        <v>4918</v>
      </c>
      <c r="D687" t="s">
        <v>4919</v>
      </c>
      <c r="E687" t="s">
        <v>4920</v>
      </c>
      <c r="F687" t="s">
        <v>2942</v>
      </c>
      <c r="G687" t="s">
        <v>6210</v>
      </c>
      <c r="H687">
        <v>91186</v>
      </c>
      <c r="I687" t="s">
        <v>1938</v>
      </c>
      <c r="J687" t="s">
        <v>1338</v>
      </c>
    </row>
    <row r="688" spans="1:10" x14ac:dyDescent="0.25">
      <c r="A688" t="s">
        <v>1340</v>
      </c>
      <c r="B688" t="s">
        <v>4921</v>
      </c>
      <c r="C688" t="s">
        <v>4922</v>
      </c>
      <c r="D688" t="s">
        <v>4923</v>
      </c>
      <c r="E688" t="s">
        <v>4924</v>
      </c>
      <c r="F688" t="s">
        <v>2568</v>
      </c>
      <c r="G688" t="s">
        <v>6210</v>
      </c>
      <c r="H688">
        <v>92725</v>
      </c>
      <c r="I688" t="s">
        <v>1938</v>
      </c>
      <c r="J688" t="s">
        <v>1340</v>
      </c>
    </row>
    <row r="689" spans="1:10" x14ac:dyDescent="0.25">
      <c r="A689" t="s">
        <v>1342</v>
      </c>
      <c r="B689" t="s">
        <v>4925</v>
      </c>
      <c r="C689" t="s">
        <v>4926</v>
      </c>
      <c r="D689" t="s">
        <v>4927</v>
      </c>
      <c r="E689" t="s">
        <v>4928</v>
      </c>
      <c r="F689" t="s">
        <v>1991</v>
      </c>
      <c r="G689" t="s">
        <v>6210</v>
      </c>
      <c r="H689">
        <v>95160</v>
      </c>
      <c r="I689" t="s">
        <v>1947</v>
      </c>
      <c r="J689" t="s">
        <v>1342</v>
      </c>
    </row>
    <row r="690" spans="1:10" x14ac:dyDescent="0.25">
      <c r="A690" t="s">
        <v>1344</v>
      </c>
      <c r="B690" t="s">
        <v>4929</v>
      </c>
      <c r="C690" t="s">
        <v>4930</v>
      </c>
      <c r="D690" t="s">
        <v>4931</v>
      </c>
      <c r="E690" t="s">
        <v>4932</v>
      </c>
      <c r="F690" t="s">
        <v>4933</v>
      </c>
      <c r="G690" t="s">
        <v>1945</v>
      </c>
      <c r="H690" t="s">
        <v>2039</v>
      </c>
      <c r="I690" t="s">
        <v>1947</v>
      </c>
      <c r="J690" t="s">
        <v>1344</v>
      </c>
    </row>
    <row r="691" spans="1:10" x14ac:dyDescent="0.25">
      <c r="A691" t="s">
        <v>1346</v>
      </c>
      <c r="B691" t="s">
        <v>4934</v>
      </c>
      <c r="C691" t="s">
        <v>4935</v>
      </c>
      <c r="D691" t="s">
        <v>4936</v>
      </c>
      <c r="E691" t="s">
        <v>4937</v>
      </c>
      <c r="F691" t="s">
        <v>2336</v>
      </c>
      <c r="G691" t="s">
        <v>6210</v>
      </c>
      <c r="H691">
        <v>80935</v>
      </c>
      <c r="I691" t="s">
        <v>1947</v>
      </c>
      <c r="J691" t="s">
        <v>1346</v>
      </c>
    </row>
    <row r="692" spans="1:10" x14ac:dyDescent="0.25">
      <c r="A692" t="s">
        <v>1348</v>
      </c>
      <c r="B692" t="s">
        <v>4938</v>
      </c>
      <c r="E692" t="s">
        <v>4939</v>
      </c>
      <c r="F692" t="s">
        <v>2207</v>
      </c>
      <c r="G692" t="s">
        <v>6210</v>
      </c>
      <c r="H692">
        <v>43605</v>
      </c>
      <c r="I692" t="s">
        <v>1947</v>
      </c>
      <c r="J692" t="s">
        <v>1348</v>
      </c>
    </row>
    <row r="693" spans="1:10" x14ac:dyDescent="0.25">
      <c r="A693" t="s">
        <v>4940</v>
      </c>
      <c r="B693" t="s">
        <v>4941</v>
      </c>
      <c r="C693" t="s">
        <v>4942</v>
      </c>
      <c r="D693" t="s">
        <v>4943</v>
      </c>
      <c r="E693" t="s">
        <v>4944</v>
      </c>
      <c r="F693" t="s">
        <v>3437</v>
      </c>
      <c r="G693" t="s">
        <v>6210</v>
      </c>
      <c r="H693">
        <v>33436</v>
      </c>
      <c r="I693" t="s">
        <v>1938</v>
      </c>
      <c r="J693" t="s">
        <v>4940</v>
      </c>
    </row>
    <row r="694" spans="1:10" x14ac:dyDescent="0.25">
      <c r="A694" t="s">
        <v>1352</v>
      </c>
      <c r="B694" t="s">
        <v>4945</v>
      </c>
      <c r="C694" t="s">
        <v>4946</v>
      </c>
      <c r="D694" t="s">
        <v>4947</v>
      </c>
      <c r="E694" t="s">
        <v>4948</v>
      </c>
      <c r="F694" t="s">
        <v>3032</v>
      </c>
      <c r="G694" t="s">
        <v>6210</v>
      </c>
      <c r="H694">
        <v>45999</v>
      </c>
      <c r="I694" t="s">
        <v>1947</v>
      </c>
      <c r="J694" t="s">
        <v>1352</v>
      </c>
    </row>
    <row r="695" spans="1:10" x14ac:dyDescent="0.25">
      <c r="A695" t="s">
        <v>1354</v>
      </c>
      <c r="B695" t="s">
        <v>4949</v>
      </c>
      <c r="C695" t="s">
        <v>4950</v>
      </c>
      <c r="D695" t="s">
        <v>4951</v>
      </c>
      <c r="E695" t="s">
        <v>4952</v>
      </c>
      <c r="F695" t="s">
        <v>2009</v>
      </c>
      <c r="G695" t="s">
        <v>6210</v>
      </c>
      <c r="H695">
        <v>63121</v>
      </c>
      <c r="I695" t="s">
        <v>1938</v>
      </c>
      <c r="J695" t="s">
        <v>1354</v>
      </c>
    </row>
    <row r="696" spans="1:10" x14ac:dyDescent="0.25">
      <c r="A696" t="s">
        <v>1356</v>
      </c>
      <c r="B696" t="s">
        <v>4953</v>
      </c>
      <c r="C696" t="s">
        <v>4954</v>
      </c>
      <c r="D696" t="s">
        <v>4955</v>
      </c>
      <c r="E696" t="s">
        <v>4956</v>
      </c>
      <c r="F696" t="s">
        <v>4957</v>
      </c>
      <c r="G696" t="s">
        <v>6210</v>
      </c>
      <c r="H696">
        <v>10705</v>
      </c>
      <c r="I696" t="s">
        <v>1947</v>
      </c>
      <c r="J696" t="s">
        <v>1356</v>
      </c>
    </row>
    <row r="697" spans="1:10" x14ac:dyDescent="0.25">
      <c r="A697" t="s">
        <v>1358</v>
      </c>
      <c r="B697" t="s">
        <v>4958</v>
      </c>
      <c r="C697" t="s">
        <v>4959</v>
      </c>
      <c r="D697" t="s">
        <v>4960</v>
      </c>
      <c r="E697" t="s">
        <v>4961</v>
      </c>
      <c r="F697" t="s">
        <v>3311</v>
      </c>
      <c r="G697" t="s">
        <v>6210</v>
      </c>
      <c r="H697">
        <v>21290</v>
      </c>
      <c r="I697" t="s">
        <v>1938</v>
      </c>
      <c r="J697" t="s">
        <v>1358</v>
      </c>
    </row>
    <row r="698" spans="1:10" x14ac:dyDescent="0.25">
      <c r="A698" t="s">
        <v>1360</v>
      </c>
      <c r="B698" t="s">
        <v>4962</v>
      </c>
      <c r="C698" t="s">
        <v>4963</v>
      </c>
      <c r="D698" t="s">
        <v>4964</v>
      </c>
      <c r="E698" t="s">
        <v>4965</v>
      </c>
      <c r="F698" t="s">
        <v>3483</v>
      </c>
      <c r="G698" t="s">
        <v>6210</v>
      </c>
      <c r="H698">
        <v>32230</v>
      </c>
      <c r="I698" t="s">
        <v>1947</v>
      </c>
      <c r="J698" t="s">
        <v>1360</v>
      </c>
    </row>
    <row r="699" spans="1:10" x14ac:dyDescent="0.25">
      <c r="A699" t="s">
        <v>1362</v>
      </c>
      <c r="B699" t="s">
        <v>4966</v>
      </c>
      <c r="E699" t="s">
        <v>4967</v>
      </c>
      <c r="F699" t="s">
        <v>4968</v>
      </c>
      <c r="G699" t="s">
        <v>1945</v>
      </c>
      <c r="H699" t="s">
        <v>4969</v>
      </c>
      <c r="I699" t="s">
        <v>1947</v>
      </c>
      <c r="J699" t="s">
        <v>1362</v>
      </c>
    </row>
    <row r="700" spans="1:10" x14ac:dyDescent="0.25">
      <c r="A700" t="s">
        <v>1350</v>
      </c>
      <c r="B700" t="s">
        <v>4970</v>
      </c>
      <c r="C700" t="s">
        <v>4971</v>
      </c>
      <c r="D700" t="s">
        <v>4972</v>
      </c>
      <c r="E700" t="s">
        <v>4973</v>
      </c>
      <c r="F700" t="s">
        <v>2362</v>
      </c>
      <c r="G700" t="s">
        <v>1945</v>
      </c>
      <c r="H700" t="s">
        <v>2541</v>
      </c>
      <c r="I700" t="s">
        <v>1947</v>
      </c>
      <c r="J700" t="s">
        <v>1350</v>
      </c>
    </row>
    <row r="701" spans="1:10" x14ac:dyDescent="0.25">
      <c r="A701" t="s">
        <v>1365</v>
      </c>
      <c r="B701" t="s">
        <v>4974</v>
      </c>
      <c r="C701" t="s">
        <v>4975</v>
      </c>
      <c r="D701" t="s">
        <v>4976</v>
      </c>
      <c r="E701" t="s">
        <v>4977</v>
      </c>
      <c r="F701" t="s">
        <v>3576</v>
      </c>
      <c r="G701" t="s">
        <v>6210</v>
      </c>
      <c r="H701">
        <v>33196</v>
      </c>
      <c r="I701" t="s">
        <v>1938</v>
      </c>
      <c r="J701" t="s">
        <v>1365</v>
      </c>
    </row>
    <row r="702" spans="1:10" x14ac:dyDescent="0.25">
      <c r="A702" t="s">
        <v>1367</v>
      </c>
      <c r="B702" t="s">
        <v>4978</v>
      </c>
      <c r="C702" t="s">
        <v>4979</v>
      </c>
      <c r="E702" t="s">
        <v>4980</v>
      </c>
      <c r="F702" t="s">
        <v>3085</v>
      </c>
      <c r="G702" t="s">
        <v>6210</v>
      </c>
      <c r="H702">
        <v>94121</v>
      </c>
      <c r="I702" t="s">
        <v>1947</v>
      </c>
      <c r="J702" t="s">
        <v>1367</v>
      </c>
    </row>
    <row r="703" spans="1:10" x14ac:dyDescent="0.25">
      <c r="A703" t="s">
        <v>1369</v>
      </c>
      <c r="B703" t="s">
        <v>4981</v>
      </c>
      <c r="C703" t="s">
        <v>4982</v>
      </c>
      <c r="D703" t="s">
        <v>4983</v>
      </c>
      <c r="E703" t="s">
        <v>4984</v>
      </c>
      <c r="F703" t="s">
        <v>3397</v>
      </c>
      <c r="G703" t="s">
        <v>1945</v>
      </c>
      <c r="H703" t="s">
        <v>2079</v>
      </c>
      <c r="I703" t="s">
        <v>1938</v>
      </c>
      <c r="J703" t="s">
        <v>1369</v>
      </c>
    </row>
    <row r="704" spans="1:10" x14ac:dyDescent="0.25">
      <c r="A704" t="s">
        <v>1371</v>
      </c>
      <c r="B704" t="s">
        <v>4985</v>
      </c>
      <c r="C704" t="s">
        <v>4986</v>
      </c>
      <c r="E704" t="s">
        <v>4987</v>
      </c>
      <c r="F704" t="s">
        <v>2049</v>
      </c>
      <c r="G704" t="s">
        <v>6210</v>
      </c>
      <c r="H704">
        <v>33982</v>
      </c>
      <c r="I704" t="s">
        <v>1938</v>
      </c>
      <c r="J704" t="s">
        <v>1371</v>
      </c>
    </row>
    <row r="705" spans="1:10" x14ac:dyDescent="0.25">
      <c r="A705" t="s">
        <v>1373</v>
      </c>
      <c r="B705" t="s">
        <v>4988</v>
      </c>
      <c r="D705" t="s">
        <v>4989</v>
      </c>
      <c r="E705" t="s">
        <v>4990</v>
      </c>
      <c r="F705" t="s">
        <v>2596</v>
      </c>
      <c r="G705" t="s">
        <v>1945</v>
      </c>
      <c r="H705" t="s">
        <v>2541</v>
      </c>
      <c r="I705" t="s">
        <v>1938</v>
      </c>
      <c r="J705" t="s">
        <v>1373</v>
      </c>
    </row>
    <row r="706" spans="1:10" x14ac:dyDescent="0.25">
      <c r="A706" t="s">
        <v>1375</v>
      </c>
      <c r="B706" t="s">
        <v>4991</v>
      </c>
      <c r="D706" t="s">
        <v>4992</v>
      </c>
      <c r="E706" t="s">
        <v>4993</v>
      </c>
      <c r="F706" t="s">
        <v>2033</v>
      </c>
      <c r="G706" t="s">
        <v>6210</v>
      </c>
      <c r="H706">
        <v>10125</v>
      </c>
      <c r="I706" t="s">
        <v>1938</v>
      </c>
      <c r="J706" t="s">
        <v>1375</v>
      </c>
    </row>
    <row r="707" spans="1:10" x14ac:dyDescent="0.25">
      <c r="A707" t="s">
        <v>1377</v>
      </c>
      <c r="B707" t="s">
        <v>4994</v>
      </c>
      <c r="C707" t="s">
        <v>4995</v>
      </c>
      <c r="D707" t="s">
        <v>4996</v>
      </c>
      <c r="E707" t="s">
        <v>4997</v>
      </c>
      <c r="F707" t="s">
        <v>2881</v>
      </c>
      <c r="G707" t="s">
        <v>6210</v>
      </c>
      <c r="H707">
        <v>29305</v>
      </c>
      <c r="I707" t="s">
        <v>1947</v>
      </c>
      <c r="J707" t="s">
        <v>1377</v>
      </c>
    </row>
    <row r="708" spans="1:10" x14ac:dyDescent="0.25">
      <c r="A708" t="s">
        <v>1379</v>
      </c>
      <c r="B708" t="s">
        <v>4998</v>
      </c>
      <c r="C708" t="s">
        <v>4999</v>
      </c>
      <c r="D708" t="s">
        <v>5000</v>
      </c>
      <c r="E708" t="s">
        <v>5001</v>
      </c>
      <c r="F708" t="s">
        <v>5002</v>
      </c>
      <c r="G708" t="s">
        <v>6210</v>
      </c>
      <c r="H708">
        <v>93305</v>
      </c>
      <c r="I708" t="s">
        <v>1947</v>
      </c>
      <c r="J708" t="s">
        <v>1379</v>
      </c>
    </row>
    <row r="709" spans="1:10" x14ac:dyDescent="0.25">
      <c r="A709" t="s">
        <v>1381</v>
      </c>
      <c r="B709" t="s">
        <v>5003</v>
      </c>
      <c r="D709" t="s">
        <v>5004</v>
      </c>
      <c r="E709" t="s">
        <v>5005</v>
      </c>
      <c r="F709" t="s">
        <v>5006</v>
      </c>
      <c r="G709" t="s">
        <v>1945</v>
      </c>
      <c r="H709" t="s">
        <v>3908</v>
      </c>
      <c r="I709" t="s">
        <v>1947</v>
      </c>
      <c r="J709" t="s">
        <v>1381</v>
      </c>
    </row>
    <row r="710" spans="1:10" x14ac:dyDescent="0.25">
      <c r="A710" t="s">
        <v>1383</v>
      </c>
      <c r="B710" t="s">
        <v>5007</v>
      </c>
      <c r="C710" t="s">
        <v>5008</v>
      </c>
      <c r="D710" t="s">
        <v>5009</v>
      </c>
      <c r="E710" t="s">
        <v>5010</v>
      </c>
      <c r="F710" t="s">
        <v>2009</v>
      </c>
      <c r="G710" t="s">
        <v>6210</v>
      </c>
      <c r="H710">
        <v>63169</v>
      </c>
      <c r="I710" t="s">
        <v>1938</v>
      </c>
      <c r="J710" t="s">
        <v>1383</v>
      </c>
    </row>
    <row r="711" spans="1:10" x14ac:dyDescent="0.25">
      <c r="A711" t="s">
        <v>1385</v>
      </c>
      <c r="B711" t="s">
        <v>5011</v>
      </c>
      <c r="D711" t="s">
        <v>5012</v>
      </c>
      <c r="E711" t="s">
        <v>5013</v>
      </c>
      <c r="F711" t="s">
        <v>2234</v>
      </c>
      <c r="G711" t="s">
        <v>6210</v>
      </c>
      <c r="H711">
        <v>46896</v>
      </c>
      <c r="I711" t="s">
        <v>1938</v>
      </c>
      <c r="J711" t="s">
        <v>1385</v>
      </c>
    </row>
    <row r="712" spans="1:10" x14ac:dyDescent="0.25">
      <c r="A712" t="s">
        <v>1387</v>
      </c>
      <c r="B712" t="s">
        <v>5014</v>
      </c>
      <c r="C712" t="s">
        <v>5015</v>
      </c>
      <c r="D712" t="s">
        <v>5016</v>
      </c>
      <c r="E712" t="s">
        <v>5017</v>
      </c>
      <c r="F712" t="s">
        <v>5018</v>
      </c>
      <c r="G712" t="s">
        <v>6210</v>
      </c>
      <c r="H712">
        <v>55564</v>
      </c>
      <c r="I712" t="s">
        <v>1947</v>
      </c>
      <c r="J712" t="s">
        <v>1387</v>
      </c>
    </row>
    <row r="713" spans="1:10" x14ac:dyDescent="0.25">
      <c r="A713" t="s">
        <v>1389</v>
      </c>
      <c r="B713" t="s">
        <v>5019</v>
      </c>
      <c r="C713" t="s">
        <v>5020</v>
      </c>
      <c r="D713" t="s">
        <v>5021</v>
      </c>
      <c r="E713" t="s">
        <v>5022</v>
      </c>
      <c r="F713" t="s">
        <v>5023</v>
      </c>
      <c r="G713" t="s">
        <v>6210</v>
      </c>
      <c r="H713">
        <v>72905</v>
      </c>
      <c r="I713" t="s">
        <v>1947</v>
      </c>
      <c r="J713" t="s">
        <v>1389</v>
      </c>
    </row>
    <row r="714" spans="1:10" x14ac:dyDescent="0.25">
      <c r="A714" t="s">
        <v>1391</v>
      </c>
      <c r="B714" t="s">
        <v>5024</v>
      </c>
      <c r="E714" t="s">
        <v>5025</v>
      </c>
      <c r="F714" t="s">
        <v>3558</v>
      </c>
      <c r="G714" t="s">
        <v>2112</v>
      </c>
      <c r="H714" t="s">
        <v>3559</v>
      </c>
      <c r="I714" t="s">
        <v>1947</v>
      </c>
      <c r="J714" t="s">
        <v>1391</v>
      </c>
    </row>
    <row r="715" spans="1:10" x14ac:dyDescent="0.25">
      <c r="A715" t="s">
        <v>1393</v>
      </c>
      <c r="B715" t="s">
        <v>5026</v>
      </c>
      <c r="C715" t="s">
        <v>5027</v>
      </c>
      <c r="D715" t="s">
        <v>5028</v>
      </c>
      <c r="E715" t="s">
        <v>5029</v>
      </c>
      <c r="F715" t="s">
        <v>2415</v>
      </c>
      <c r="G715" t="s">
        <v>6210</v>
      </c>
      <c r="H715">
        <v>95210</v>
      </c>
      <c r="I715" t="s">
        <v>1947</v>
      </c>
      <c r="J715" t="s">
        <v>1393</v>
      </c>
    </row>
    <row r="716" spans="1:10" x14ac:dyDescent="0.25">
      <c r="A716" t="s">
        <v>1395</v>
      </c>
      <c r="B716" t="s">
        <v>5030</v>
      </c>
      <c r="C716" t="s">
        <v>5031</v>
      </c>
      <c r="D716" t="s">
        <v>5032</v>
      </c>
      <c r="E716" t="s">
        <v>5033</v>
      </c>
      <c r="F716" t="s">
        <v>5034</v>
      </c>
      <c r="G716" t="s">
        <v>1945</v>
      </c>
      <c r="H716" t="s">
        <v>2532</v>
      </c>
      <c r="I716" t="s">
        <v>1938</v>
      </c>
      <c r="J716" t="s">
        <v>1395</v>
      </c>
    </row>
    <row r="717" spans="1:10" x14ac:dyDescent="0.25">
      <c r="A717" t="s">
        <v>1397</v>
      </c>
      <c r="B717" t="s">
        <v>5035</v>
      </c>
      <c r="C717" t="s">
        <v>5036</v>
      </c>
      <c r="E717" t="s">
        <v>5037</v>
      </c>
      <c r="F717" t="s">
        <v>2216</v>
      </c>
      <c r="G717" t="s">
        <v>6210</v>
      </c>
      <c r="H717">
        <v>33686</v>
      </c>
      <c r="I717" t="s">
        <v>1947</v>
      </c>
      <c r="J717" t="s">
        <v>1397</v>
      </c>
    </row>
    <row r="718" spans="1:10" x14ac:dyDescent="0.25">
      <c r="A718" t="s">
        <v>5038</v>
      </c>
      <c r="B718" t="s">
        <v>5039</v>
      </c>
      <c r="C718" t="s">
        <v>5040</v>
      </c>
      <c r="D718" t="s">
        <v>5041</v>
      </c>
      <c r="E718" t="s">
        <v>5042</v>
      </c>
      <c r="F718" t="s">
        <v>2721</v>
      </c>
      <c r="G718" t="s">
        <v>1945</v>
      </c>
      <c r="H718" t="s">
        <v>2722</v>
      </c>
      <c r="I718" t="s">
        <v>1947</v>
      </c>
      <c r="J718" t="s">
        <v>5038</v>
      </c>
    </row>
    <row r="719" spans="1:10" x14ac:dyDescent="0.25">
      <c r="A719" t="s">
        <v>1400</v>
      </c>
      <c r="B719" t="s">
        <v>5043</v>
      </c>
      <c r="C719" t="s">
        <v>5044</v>
      </c>
      <c r="D719" t="s">
        <v>5045</v>
      </c>
      <c r="E719" t="s">
        <v>5046</v>
      </c>
      <c r="F719" t="s">
        <v>2013</v>
      </c>
      <c r="G719" t="s">
        <v>6210</v>
      </c>
      <c r="H719">
        <v>19104</v>
      </c>
      <c r="I719" t="s">
        <v>1947</v>
      </c>
      <c r="J719" t="s">
        <v>1400</v>
      </c>
    </row>
    <row r="720" spans="1:10" x14ac:dyDescent="0.25">
      <c r="A720" t="s">
        <v>1402</v>
      </c>
      <c r="B720" t="s">
        <v>5047</v>
      </c>
      <c r="C720" t="s">
        <v>5048</v>
      </c>
      <c r="D720" t="s">
        <v>5049</v>
      </c>
      <c r="E720" t="s">
        <v>5050</v>
      </c>
      <c r="F720" t="s">
        <v>4755</v>
      </c>
      <c r="G720" t="s">
        <v>6210</v>
      </c>
      <c r="H720">
        <v>76905</v>
      </c>
      <c r="I720" t="s">
        <v>1947</v>
      </c>
      <c r="J720" t="s">
        <v>1402</v>
      </c>
    </row>
    <row r="721" spans="1:10" x14ac:dyDescent="0.25">
      <c r="A721" t="s">
        <v>1404</v>
      </c>
      <c r="B721" t="s">
        <v>5051</v>
      </c>
      <c r="C721" t="s">
        <v>5052</v>
      </c>
      <c r="D721" t="s">
        <v>5053</v>
      </c>
      <c r="E721" t="s">
        <v>5054</v>
      </c>
      <c r="F721" t="s">
        <v>1982</v>
      </c>
      <c r="G721" t="s">
        <v>6210</v>
      </c>
      <c r="H721">
        <v>90035</v>
      </c>
      <c r="I721" t="s">
        <v>1938</v>
      </c>
      <c r="J721" t="s">
        <v>1404</v>
      </c>
    </row>
    <row r="722" spans="1:10" x14ac:dyDescent="0.25">
      <c r="A722" t="s">
        <v>1406</v>
      </c>
      <c r="B722" t="s">
        <v>5055</v>
      </c>
      <c r="C722" t="s">
        <v>5056</v>
      </c>
      <c r="D722" t="s">
        <v>5057</v>
      </c>
      <c r="E722" t="s">
        <v>5058</v>
      </c>
      <c r="F722" t="s">
        <v>2795</v>
      </c>
      <c r="G722" t="s">
        <v>6210</v>
      </c>
      <c r="H722">
        <v>48912</v>
      </c>
      <c r="I722" t="s">
        <v>1938</v>
      </c>
      <c r="J722" t="s">
        <v>1406</v>
      </c>
    </row>
    <row r="723" spans="1:10" x14ac:dyDescent="0.25">
      <c r="A723" t="s">
        <v>1408</v>
      </c>
      <c r="B723" t="s">
        <v>5059</v>
      </c>
      <c r="C723" t="s">
        <v>5060</v>
      </c>
      <c r="D723" t="s">
        <v>5061</v>
      </c>
      <c r="E723" t="s">
        <v>5062</v>
      </c>
      <c r="F723" t="s">
        <v>2709</v>
      </c>
      <c r="G723" t="s">
        <v>6210</v>
      </c>
      <c r="H723">
        <v>34615</v>
      </c>
      <c r="I723" t="s">
        <v>1938</v>
      </c>
      <c r="J723" t="s">
        <v>1408</v>
      </c>
    </row>
    <row r="724" spans="1:10" x14ac:dyDescent="0.25">
      <c r="A724" t="s">
        <v>1410</v>
      </c>
      <c r="B724" t="s">
        <v>5063</v>
      </c>
      <c r="D724" t="s">
        <v>5064</v>
      </c>
      <c r="E724" t="s">
        <v>5065</v>
      </c>
      <c r="F724" t="s">
        <v>2753</v>
      </c>
      <c r="G724" t="s">
        <v>6210</v>
      </c>
      <c r="H724">
        <v>90605</v>
      </c>
      <c r="I724" t="s">
        <v>1947</v>
      </c>
      <c r="J724" t="s">
        <v>1410</v>
      </c>
    </row>
    <row r="725" spans="1:10" x14ac:dyDescent="0.25">
      <c r="A725" t="s">
        <v>1412</v>
      </c>
      <c r="B725" t="s">
        <v>5066</v>
      </c>
      <c r="C725" t="s">
        <v>5067</v>
      </c>
      <c r="D725" t="s">
        <v>5068</v>
      </c>
      <c r="E725" t="s">
        <v>5069</v>
      </c>
      <c r="F725" t="s">
        <v>2351</v>
      </c>
      <c r="G725" t="s">
        <v>6210</v>
      </c>
      <c r="H725">
        <v>93773</v>
      </c>
      <c r="I725" t="s">
        <v>1947</v>
      </c>
      <c r="J725" t="s">
        <v>1412</v>
      </c>
    </row>
    <row r="726" spans="1:10" x14ac:dyDescent="0.25">
      <c r="A726" t="s">
        <v>1414</v>
      </c>
      <c r="B726" t="s">
        <v>5070</v>
      </c>
      <c r="D726" t="s">
        <v>5071</v>
      </c>
      <c r="E726" t="s">
        <v>5072</v>
      </c>
      <c r="F726" t="s">
        <v>2033</v>
      </c>
      <c r="G726" t="s">
        <v>6210</v>
      </c>
      <c r="H726">
        <v>10155</v>
      </c>
      <c r="I726" t="s">
        <v>1938</v>
      </c>
      <c r="J726" t="s">
        <v>1414</v>
      </c>
    </row>
    <row r="727" spans="1:10" x14ac:dyDescent="0.25">
      <c r="A727" t="s">
        <v>1416</v>
      </c>
      <c r="B727" t="s">
        <v>5073</v>
      </c>
      <c r="C727" t="s">
        <v>5074</v>
      </c>
      <c r="D727" t="s">
        <v>5075</v>
      </c>
      <c r="E727" t="s">
        <v>5076</v>
      </c>
      <c r="F727" t="s">
        <v>2336</v>
      </c>
      <c r="G727" t="s">
        <v>6210</v>
      </c>
      <c r="H727">
        <v>80935</v>
      </c>
      <c r="I727" t="s">
        <v>1947</v>
      </c>
      <c r="J727" t="s">
        <v>1416</v>
      </c>
    </row>
    <row r="728" spans="1:10" x14ac:dyDescent="0.25">
      <c r="A728" t="s">
        <v>1418</v>
      </c>
      <c r="B728" t="s">
        <v>5077</v>
      </c>
      <c r="D728" t="s">
        <v>5078</v>
      </c>
      <c r="E728" t="s">
        <v>5079</v>
      </c>
      <c r="F728" t="s">
        <v>5080</v>
      </c>
      <c r="G728" t="s">
        <v>6210</v>
      </c>
      <c r="H728">
        <v>90831</v>
      </c>
      <c r="I728" t="s">
        <v>1947</v>
      </c>
      <c r="J728" t="s">
        <v>1418</v>
      </c>
    </row>
    <row r="729" spans="1:10" x14ac:dyDescent="0.25">
      <c r="A729" t="s">
        <v>1420</v>
      </c>
      <c r="B729" t="s">
        <v>5081</v>
      </c>
      <c r="C729" t="s">
        <v>5082</v>
      </c>
      <c r="D729" t="s">
        <v>5083</v>
      </c>
      <c r="E729" t="s">
        <v>5084</v>
      </c>
      <c r="F729" t="s">
        <v>5085</v>
      </c>
      <c r="G729" t="s">
        <v>1945</v>
      </c>
      <c r="H729" t="s">
        <v>5086</v>
      </c>
      <c r="I729" t="s">
        <v>1938</v>
      </c>
      <c r="J729" t="s">
        <v>1420</v>
      </c>
    </row>
    <row r="730" spans="1:10" x14ac:dyDescent="0.25">
      <c r="A730" t="s">
        <v>1422</v>
      </c>
      <c r="B730" t="s">
        <v>5087</v>
      </c>
      <c r="C730" t="s">
        <v>5088</v>
      </c>
      <c r="D730" t="s">
        <v>5089</v>
      </c>
      <c r="E730" t="s">
        <v>5090</v>
      </c>
      <c r="F730" t="s">
        <v>2366</v>
      </c>
      <c r="G730" t="s">
        <v>6210</v>
      </c>
      <c r="H730">
        <v>89510</v>
      </c>
      <c r="I730" t="s">
        <v>1938</v>
      </c>
      <c r="J730" t="s">
        <v>1422</v>
      </c>
    </row>
    <row r="731" spans="1:10" x14ac:dyDescent="0.25">
      <c r="A731" t="s">
        <v>1424</v>
      </c>
      <c r="B731" t="s">
        <v>5091</v>
      </c>
      <c r="C731" t="s">
        <v>5092</v>
      </c>
      <c r="D731" t="s">
        <v>5093</v>
      </c>
      <c r="E731" t="s">
        <v>5094</v>
      </c>
      <c r="F731" t="s">
        <v>2111</v>
      </c>
      <c r="G731" t="s">
        <v>2112</v>
      </c>
      <c r="H731" t="s">
        <v>2113</v>
      </c>
      <c r="I731" t="s">
        <v>1947</v>
      </c>
      <c r="J731" t="s">
        <v>1424</v>
      </c>
    </row>
    <row r="732" spans="1:10" x14ac:dyDescent="0.25">
      <c r="A732" t="s">
        <v>1426</v>
      </c>
      <c r="B732" t="s">
        <v>5095</v>
      </c>
      <c r="C732" t="s">
        <v>5096</v>
      </c>
      <c r="D732" t="s">
        <v>5097</v>
      </c>
      <c r="E732" t="s">
        <v>5098</v>
      </c>
      <c r="F732" t="s">
        <v>3365</v>
      </c>
      <c r="G732" t="s">
        <v>6210</v>
      </c>
      <c r="H732">
        <v>89155</v>
      </c>
      <c r="I732" t="s">
        <v>1947</v>
      </c>
      <c r="J732" t="s">
        <v>1426</v>
      </c>
    </row>
    <row r="733" spans="1:10" x14ac:dyDescent="0.25">
      <c r="A733" t="s">
        <v>1428</v>
      </c>
      <c r="B733" t="s">
        <v>5099</v>
      </c>
      <c r="D733" t="s">
        <v>5100</v>
      </c>
      <c r="E733" t="s">
        <v>5101</v>
      </c>
      <c r="F733" t="s">
        <v>5102</v>
      </c>
      <c r="G733" t="s">
        <v>6210</v>
      </c>
      <c r="H733">
        <v>19805</v>
      </c>
      <c r="I733" t="s">
        <v>1938</v>
      </c>
      <c r="J733" t="s">
        <v>1428</v>
      </c>
    </row>
    <row r="734" spans="1:10" x14ac:dyDescent="0.25">
      <c r="A734" t="s">
        <v>1430</v>
      </c>
      <c r="B734" t="s">
        <v>5103</v>
      </c>
      <c r="C734" t="s">
        <v>5104</v>
      </c>
      <c r="D734" t="s">
        <v>5105</v>
      </c>
      <c r="E734" t="s">
        <v>5106</v>
      </c>
      <c r="F734" t="s">
        <v>2366</v>
      </c>
      <c r="G734" t="s">
        <v>6210</v>
      </c>
      <c r="H734">
        <v>89550</v>
      </c>
      <c r="I734" t="s">
        <v>1947</v>
      </c>
      <c r="J734" t="s">
        <v>1430</v>
      </c>
    </row>
    <row r="735" spans="1:10" x14ac:dyDescent="0.25">
      <c r="A735" t="s">
        <v>1432</v>
      </c>
      <c r="B735" t="s">
        <v>5107</v>
      </c>
      <c r="C735" t="s">
        <v>5108</v>
      </c>
      <c r="D735" t="s">
        <v>5109</v>
      </c>
      <c r="E735" t="s">
        <v>5110</v>
      </c>
      <c r="F735" t="s">
        <v>2435</v>
      </c>
      <c r="G735" t="s">
        <v>6210</v>
      </c>
      <c r="H735">
        <v>35487</v>
      </c>
      <c r="I735" t="s">
        <v>1938</v>
      </c>
      <c r="J735" t="s">
        <v>1432</v>
      </c>
    </row>
    <row r="736" spans="1:10" x14ac:dyDescent="0.25">
      <c r="A736" t="s">
        <v>1434</v>
      </c>
      <c r="B736" t="s">
        <v>5111</v>
      </c>
      <c r="D736" t="s">
        <v>5112</v>
      </c>
      <c r="E736" t="s">
        <v>5113</v>
      </c>
      <c r="F736" t="s">
        <v>5114</v>
      </c>
      <c r="G736" t="s">
        <v>6210</v>
      </c>
      <c r="H736">
        <v>92645</v>
      </c>
      <c r="I736" t="s">
        <v>1947</v>
      </c>
      <c r="J736" t="s">
        <v>1434</v>
      </c>
    </row>
    <row r="737" spans="1:10" x14ac:dyDescent="0.25">
      <c r="A737" t="s">
        <v>1436</v>
      </c>
      <c r="B737" t="s">
        <v>5115</v>
      </c>
      <c r="C737" t="s">
        <v>5116</v>
      </c>
      <c r="E737" t="s">
        <v>5117</v>
      </c>
      <c r="F737" t="s">
        <v>2983</v>
      </c>
      <c r="G737" t="s">
        <v>6210</v>
      </c>
      <c r="H737">
        <v>66225</v>
      </c>
      <c r="I737" t="s">
        <v>1947</v>
      </c>
      <c r="J737" t="s">
        <v>1436</v>
      </c>
    </row>
    <row r="738" spans="1:10" x14ac:dyDescent="0.25">
      <c r="A738" t="s">
        <v>1438</v>
      </c>
      <c r="B738" t="s">
        <v>5118</v>
      </c>
      <c r="C738" t="s">
        <v>5119</v>
      </c>
      <c r="D738" t="s">
        <v>5120</v>
      </c>
      <c r="E738" t="s">
        <v>5121</v>
      </c>
      <c r="F738" t="s">
        <v>2596</v>
      </c>
      <c r="G738" t="s">
        <v>1945</v>
      </c>
      <c r="H738" t="s">
        <v>2541</v>
      </c>
      <c r="I738" t="s">
        <v>1938</v>
      </c>
      <c r="J738" t="s">
        <v>1438</v>
      </c>
    </row>
    <row r="739" spans="1:10" x14ac:dyDescent="0.25">
      <c r="A739" t="s">
        <v>1440</v>
      </c>
      <c r="B739" t="s">
        <v>5122</v>
      </c>
      <c r="C739" t="s">
        <v>5123</v>
      </c>
      <c r="D739" t="s">
        <v>5124</v>
      </c>
      <c r="E739" t="s">
        <v>5125</v>
      </c>
      <c r="F739" t="s">
        <v>3032</v>
      </c>
      <c r="G739" t="s">
        <v>6210</v>
      </c>
      <c r="H739">
        <v>45228</v>
      </c>
      <c r="I739" t="s">
        <v>1947</v>
      </c>
      <c r="J739" t="s">
        <v>1440</v>
      </c>
    </row>
    <row r="740" spans="1:10" x14ac:dyDescent="0.25">
      <c r="A740" t="s">
        <v>1442</v>
      </c>
      <c r="B740" t="s">
        <v>5126</v>
      </c>
      <c r="C740" t="s">
        <v>5127</v>
      </c>
      <c r="D740" t="s">
        <v>5128</v>
      </c>
      <c r="E740" t="s">
        <v>5129</v>
      </c>
      <c r="F740" t="s">
        <v>2907</v>
      </c>
      <c r="G740" t="s">
        <v>2112</v>
      </c>
      <c r="H740" t="s">
        <v>2908</v>
      </c>
      <c r="I740" t="s">
        <v>1947</v>
      </c>
      <c r="J740" t="s">
        <v>1442</v>
      </c>
    </row>
    <row r="741" spans="1:10" x14ac:dyDescent="0.25">
      <c r="A741" t="s">
        <v>5130</v>
      </c>
      <c r="B741" t="s">
        <v>5131</v>
      </c>
      <c r="D741" t="s">
        <v>5132</v>
      </c>
      <c r="E741" t="s">
        <v>5133</v>
      </c>
      <c r="F741" t="s">
        <v>2018</v>
      </c>
      <c r="G741" t="s">
        <v>6210</v>
      </c>
      <c r="H741">
        <v>97296</v>
      </c>
      <c r="I741" t="s">
        <v>1938</v>
      </c>
      <c r="J741" t="s">
        <v>5130</v>
      </c>
    </row>
    <row r="742" spans="1:10" x14ac:dyDescent="0.25">
      <c r="A742" t="s">
        <v>1445</v>
      </c>
      <c r="B742" t="s">
        <v>5134</v>
      </c>
      <c r="C742" t="s">
        <v>5135</v>
      </c>
      <c r="D742" t="s">
        <v>5136</v>
      </c>
      <c r="E742" t="s">
        <v>5137</v>
      </c>
      <c r="F742" t="s">
        <v>5006</v>
      </c>
      <c r="G742" t="s">
        <v>1945</v>
      </c>
      <c r="H742" t="s">
        <v>3908</v>
      </c>
      <c r="I742" t="s">
        <v>1947</v>
      </c>
      <c r="J742" t="s">
        <v>1445</v>
      </c>
    </row>
    <row r="743" spans="1:10" x14ac:dyDescent="0.25">
      <c r="A743" t="s">
        <v>1447</v>
      </c>
      <c r="B743" t="s">
        <v>5138</v>
      </c>
      <c r="C743" t="s">
        <v>5139</v>
      </c>
      <c r="D743" t="s">
        <v>5140</v>
      </c>
      <c r="E743" t="s">
        <v>5141</v>
      </c>
      <c r="F743" t="s">
        <v>4806</v>
      </c>
      <c r="G743" t="s">
        <v>6210</v>
      </c>
      <c r="H743">
        <v>94089</v>
      </c>
      <c r="I743" t="s">
        <v>1947</v>
      </c>
      <c r="J743" t="s">
        <v>1447</v>
      </c>
    </row>
    <row r="744" spans="1:10" x14ac:dyDescent="0.25">
      <c r="A744" t="s">
        <v>1449</v>
      </c>
      <c r="B744" t="s">
        <v>5142</v>
      </c>
      <c r="C744" t="s">
        <v>5143</v>
      </c>
      <c r="D744" t="s">
        <v>5144</v>
      </c>
      <c r="E744" t="s">
        <v>5145</v>
      </c>
      <c r="F744" t="s">
        <v>2840</v>
      </c>
      <c r="G744" t="s">
        <v>6210</v>
      </c>
      <c r="H744">
        <v>38188</v>
      </c>
      <c r="I744" t="s">
        <v>1947</v>
      </c>
      <c r="J744" t="s">
        <v>1449</v>
      </c>
    </row>
    <row r="745" spans="1:10" x14ac:dyDescent="0.25">
      <c r="A745" t="s">
        <v>1451</v>
      </c>
      <c r="B745" t="s">
        <v>5146</v>
      </c>
      <c r="C745" t="s">
        <v>5147</v>
      </c>
      <c r="D745" t="s">
        <v>5148</v>
      </c>
      <c r="E745" t="s">
        <v>5149</v>
      </c>
      <c r="F745" t="s">
        <v>4396</v>
      </c>
      <c r="G745" t="s">
        <v>6210</v>
      </c>
      <c r="H745">
        <v>32868</v>
      </c>
      <c r="I745" t="s">
        <v>1947</v>
      </c>
      <c r="J745" t="s">
        <v>1451</v>
      </c>
    </row>
    <row r="746" spans="1:10" x14ac:dyDescent="0.25">
      <c r="A746" t="s">
        <v>1453</v>
      </c>
      <c r="B746" t="s">
        <v>5150</v>
      </c>
      <c r="D746" t="s">
        <v>5151</v>
      </c>
      <c r="E746" t="s">
        <v>5152</v>
      </c>
      <c r="F746" t="s">
        <v>2816</v>
      </c>
      <c r="G746" t="s">
        <v>6210</v>
      </c>
      <c r="H746">
        <v>48232</v>
      </c>
      <c r="I746" t="s">
        <v>1938</v>
      </c>
      <c r="J746" t="s">
        <v>1453</v>
      </c>
    </row>
    <row r="747" spans="1:10" x14ac:dyDescent="0.25">
      <c r="A747" t="s">
        <v>1455</v>
      </c>
      <c r="B747" t="s">
        <v>5153</v>
      </c>
      <c r="C747" t="s">
        <v>5154</v>
      </c>
      <c r="D747" t="s">
        <v>5155</v>
      </c>
      <c r="E747" t="s">
        <v>5156</v>
      </c>
      <c r="F747" t="s">
        <v>5157</v>
      </c>
      <c r="G747" t="s">
        <v>1945</v>
      </c>
      <c r="H747" t="s">
        <v>5158</v>
      </c>
      <c r="I747" t="s">
        <v>1947</v>
      </c>
      <c r="J747" t="s">
        <v>1455</v>
      </c>
    </row>
    <row r="748" spans="1:10" x14ac:dyDescent="0.25">
      <c r="A748" t="s">
        <v>1457</v>
      </c>
      <c r="B748" t="s">
        <v>5159</v>
      </c>
      <c r="C748" t="s">
        <v>5160</v>
      </c>
      <c r="D748" t="s">
        <v>5161</v>
      </c>
      <c r="E748" t="s">
        <v>5162</v>
      </c>
      <c r="F748" t="s">
        <v>5163</v>
      </c>
      <c r="G748" t="s">
        <v>1945</v>
      </c>
      <c r="H748" t="s">
        <v>2722</v>
      </c>
      <c r="I748" t="s">
        <v>1947</v>
      </c>
      <c r="J748" t="s">
        <v>1457</v>
      </c>
    </row>
    <row r="749" spans="1:10" x14ac:dyDescent="0.25">
      <c r="A749" t="s">
        <v>1459</v>
      </c>
      <c r="B749" t="s">
        <v>5164</v>
      </c>
      <c r="C749" t="s">
        <v>5165</v>
      </c>
      <c r="D749" t="s">
        <v>5166</v>
      </c>
      <c r="E749" t="s">
        <v>5167</v>
      </c>
      <c r="F749" t="s">
        <v>5168</v>
      </c>
      <c r="G749" t="s">
        <v>1945</v>
      </c>
      <c r="H749" t="s">
        <v>5169</v>
      </c>
      <c r="I749" t="s">
        <v>1938</v>
      </c>
      <c r="J749" t="s">
        <v>1459</v>
      </c>
    </row>
    <row r="750" spans="1:10" x14ac:dyDescent="0.25">
      <c r="A750" t="s">
        <v>1461</v>
      </c>
      <c r="B750" t="s">
        <v>5170</v>
      </c>
      <c r="C750" t="s">
        <v>5171</v>
      </c>
      <c r="D750" t="s">
        <v>5172</v>
      </c>
      <c r="E750" t="s">
        <v>5173</v>
      </c>
      <c r="F750" t="s">
        <v>2000</v>
      </c>
      <c r="G750" t="s">
        <v>6210</v>
      </c>
      <c r="H750">
        <v>23203</v>
      </c>
      <c r="I750" t="s">
        <v>1947</v>
      </c>
      <c r="J750" t="s">
        <v>1461</v>
      </c>
    </row>
    <row r="751" spans="1:10" x14ac:dyDescent="0.25">
      <c r="A751" t="s">
        <v>1463</v>
      </c>
      <c r="B751" t="s">
        <v>5174</v>
      </c>
      <c r="C751" t="s">
        <v>5175</v>
      </c>
      <c r="D751" t="s">
        <v>5176</v>
      </c>
      <c r="E751" t="s">
        <v>5177</v>
      </c>
      <c r="F751" t="s">
        <v>5178</v>
      </c>
      <c r="G751" t="s">
        <v>1945</v>
      </c>
      <c r="H751" t="s">
        <v>2532</v>
      </c>
      <c r="I751" t="s">
        <v>1938</v>
      </c>
      <c r="J751" t="s">
        <v>1463</v>
      </c>
    </row>
    <row r="752" spans="1:10" x14ac:dyDescent="0.25">
      <c r="A752" t="s">
        <v>1465</v>
      </c>
      <c r="B752" t="s">
        <v>5179</v>
      </c>
      <c r="D752" t="s">
        <v>5180</v>
      </c>
      <c r="E752" t="s">
        <v>5181</v>
      </c>
      <c r="F752" t="s">
        <v>2262</v>
      </c>
      <c r="G752" t="s">
        <v>6210</v>
      </c>
      <c r="H752">
        <v>76178</v>
      </c>
      <c r="I752" t="s">
        <v>1938</v>
      </c>
      <c r="J752" t="s">
        <v>1465</v>
      </c>
    </row>
    <row r="753" spans="1:10" x14ac:dyDescent="0.25">
      <c r="A753" t="s">
        <v>1467</v>
      </c>
      <c r="B753" t="s">
        <v>5182</v>
      </c>
      <c r="C753" t="s">
        <v>5183</v>
      </c>
      <c r="D753" t="s">
        <v>5184</v>
      </c>
      <c r="E753" t="s">
        <v>5185</v>
      </c>
      <c r="F753" t="s">
        <v>2771</v>
      </c>
      <c r="G753" t="s">
        <v>6210</v>
      </c>
      <c r="H753">
        <v>11254</v>
      </c>
      <c r="I753" t="s">
        <v>1947</v>
      </c>
      <c r="J753" t="s">
        <v>1467</v>
      </c>
    </row>
    <row r="754" spans="1:10" x14ac:dyDescent="0.25">
      <c r="A754" t="s">
        <v>1469</v>
      </c>
      <c r="B754" t="s">
        <v>5186</v>
      </c>
      <c r="C754" t="s">
        <v>5187</v>
      </c>
      <c r="D754" t="s">
        <v>5188</v>
      </c>
      <c r="E754" t="s">
        <v>5189</v>
      </c>
      <c r="F754" t="s">
        <v>2262</v>
      </c>
      <c r="G754" t="s">
        <v>6210</v>
      </c>
      <c r="H754">
        <v>76198</v>
      </c>
      <c r="I754" t="s">
        <v>1938</v>
      </c>
      <c r="J754" t="s">
        <v>1469</v>
      </c>
    </row>
    <row r="755" spans="1:10" x14ac:dyDescent="0.25">
      <c r="A755" t="s">
        <v>1471</v>
      </c>
      <c r="B755" t="s">
        <v>5190</v>
      </c>
      <c r="C755" t="s">
        <v>5191</v>
      </c>
      <c r="D755" t="s">
        <v>5192</v>
      </c>
      <c r="E755" t="s">
        <v>5193</v>
      </c>
      <c r="F755" t="s">
        <v>3094</v>
      </c>
      <c r="G755" t="s">
        <v>6210</v>
      </c>
      <c r="H755">
        <v>85053</v>
      </c>
      <c r="I755" t="s">
        <v>1947</v>
      </c>
      <c r="J755" t="s">
        <v>1471</v>
      </c>
    </row>
    <row r="756" spans="1:10" x14ac:dyDescent="0.25">
      <c r="A756" t="s">
        <v>5194</v>
      </c>
      <c r="B756" t="s">
        <v>5195</v>
      </c>
      <c r="C756" t="s">
        <v>5196</v>
      </c>
      <c r="E756" t="s">
        <v>5197</v>
      </c>
      <c r="F756" t="s">
        <v>2182</v>
      </c>
      <c r="G756" t="s">
        <v>6210</v>
      </c>
      <c r="H756">
        <v>20470</v>
      </c>
      <c r="I756" t="s">
        <v>1947</v>
      </c>
      <c r="J756" t="s">
        <v>5194</v>
      </c>
    </row>
    <row r="757" spans="1:10" x14ac:dyDescent="0.25">
      <c r="A757" t="s">
        <v>1474</v>
      </c>
      <c r="B757" t="s">
        <v>5198</v>
      </c>
      <c r="C757" t="s">
        <v>5199</v>
      </c>
      <c r="D757" t="s">
        <v>5200</v>
      </c>
      <c r="E757" t="s">
        <v>5201</v>
      </c>
      <c r="F757" t="s">
        <v>2321</v>
      </c>
      <c r="G757" t="s">
        <v>6210</v>
      </c>
      <c r="H757">
        <v>75287</v>
      </c>
      <c r="I757" t="s">
        <v>1947</v>
      </c>
      <c r="J757" t="s">
        <v>1474</v>
      </c>
    </row>
    <row r="758" spans="1:10" x14ac:dyDescent="0.25">
      <c r="A758" t="s">
        <v>1476</v>
      </c>
      <c r="B758" t="s">
        <v>5202</v>
      </c>
      <c r="C758" t="s">
        <v>5203</v>
      </c>
      <c r="D758" t="s">
        <v>5204</v>
      </c>
      <c r="E758" t="s">
        <v>5205</v>
      </c>
      <c r="F758" t="s">
        <v>3682</v>
      </c>
      <c r="G758" t="s">
        <v>6210</v>
      </c>
      <c r="H758">
        <v>28805</v>
      </c>
      <c r="I758" t="s">
        <v>1938</v>
      </c>
      <c r="J758" t="s">
        <v>1476</v>
      </c>
    </row>
    <row r="759" spans="1:10" x14ac:dyDescent="0.25">
      <c r="A759" t="s">
        <v>1478</v>
      </c>
      <c r="B759" t="s">
        <v>5206</v>
      </c>
      <c r="C759" t="s">
        <v>5207</v>
      </c>
      <c r="D759" t="s">
        <v>5208</v>
      </c>
      <c r="E759" t="s">
        <v>5209</v>
      </c>
      <c r="F759" t="s">
        <v>5210</v>
      </c>
      <c r="G759" t="s">
        <v>6210</v>
      </c>
      <c r="H759">
        <v>59112</v>
      </c>
      <c r="I759" t="s">
        <v>1938</v>
      </c>
      <c r="J759" t="s">
        <v>1478</v>
      </c>
    </row>
    <row r="760" spans="1:10" x14ac:dyDescent="0.25">
      <c r="A760" t="s">
        <v>1480</v>
      </c>
      <c r="B760" t="s">
        <v>5211</v>
      </c>
      <c r="C760" t="s">
        <v>5212</v>
      </c>
      <c r="E760" t="s">
        <v>5213</v>
      </c>
      <c r="F760" t="s">
        <v>2009</v>
      </c>
      <c r="G760" t="s">
        <v>6210</v>
      </c>
      <c r="H760">
        <v>63126</v>
      </c>
      <c r="I760" t="s">
        <v>1947</v>
      </c>
      <c r="J760" t="s">
        <v>1480</v>
      </c>
    </row>
    <row r="761" spans="1:10" x14ac:dyDescent="0.25">
      <c r="A761" t="s">
        <v>1482</v>
      </c>
      <c r="B761" t="s">
        <v>5214</v>
      </c>
      <c r="C761" t="s">
        <v>5215</v>
      </c>
      <c r="D761" t="s">
        <v>5216</v>
      </c>
      <c r="E761" t="s">
        <v>5217</v>
      </c>
      <c r="F761" t="s">
        <v>5218</v>
      </c>
      <c r="G761" t="s">
        <v>6210</v>
      </c>
      <c r="H761">
        <v>64054</v>
      </c>
      <c r="I761" t="s">
        <v>1938</v>
      </c>
      <c r="J761" t="s">
        <v>1482</v>
      </c>
    </row>
    <row r="762" spans="1:10" x14ac:dyDescent="0.25">
      <c r="A762" t="s">
        <v>1484</v>
      </c>
      <c r="B762" t="s">
        <v>5219</v>
      </c>
      <c r="C762" t="s">
        <v>5220</v>
      </c>
      <c r="E762" t="s">
        <v>5221</v>
      </c>
      <c r="F762" t="s">
        <v>2690</v>
      </c>
      <c r="G762" t="s">
        <v>6210</v>
      </c>
      <c r="H762">
        <v>27404</v>
      </c>
      <c r="I762" t="s">
        <v>1947</v>
      </c>
      <c r="J762" t="s">
        <v>1484</v>
      </c>
    </row>
    <row r="763" spans="1:10" x14ac:dyDescent="0.25">
      <c r="A763" t="s">
        <v>1486</v>
      </c>
      <c r="B763" t="s">
        <v>5222</v>
      </c>
      <c r="C763" t="s">
        <v>5223</v>
      </c>
      <c r="E763" t="s">
        <v>5224</v>
      </c>
      <c r="F763" t="s">
        <v>5225</v>
      </c>
      <c r="G763" t="s">
        <v>6210</v>
      </c>
      <c r="H763">
        <v>71213</v>
      </c>
      <c r="I763" t="s">
        <v>1938</v>
      </c>
      <c r="J763" t="s">
        <v>1486</v>
      </c>
    </row>
    <row r="764" spans="1:10" x14ac:dyDescent="0.25">
      <c r="A764" t="s">
        <v>1488</v>
      </c>
      <c r="B764" t="s">
        <v>5226</v>
      </c>
      <c r="C764" t="s">
        <v>5227</v>
      </c>
      <c r="D764" t="s">
        <v>5228</v>
      </c>
      <c r="E764" t="s">
        <v>5229</v>
      </c>
      <c r="F764" t="s">
        <v>4417</v>
      </c>
      <c r="G764" t="s">
        <v>2112</v>
      </c>
      <c r="H764" t="s">
        <v>4418</v>
      </c>
      <c r="I764" t="s">
        <v>1947</v>
      </c>
      <c r="J764" t="s">
        <v>1488</v>
      </c>
    </row>
    <row r="765" spans="1:10" x14ac:dyDescent="0.25">
      <c r="A765" t="s">
        <v>1490</v>
      </c>
      <c r="B765" t="s">
        <v>5230</v>
      </c>
      <c r="D765" t="s">
        <v>5231</v>
      </c>
      <c r="E765" t="s">
        <v>5232</v>
      </c>
      <c r="F765" t="s">
        <v>2262</v>
      </c>
      <c r="G765" t="s">
        <v>6210</v>
      </c>
      <c r="H765">
        <v>76129</v>
      </c>
      <c r="I765" t="s">
        <v>1947</v>
      </c>
      <c r="J765" t="s">
        <v>1490</v>
      </c>
    </row>
    <row r="766" spans="1:10" x14ac:dyDescent="0.25">
      <c r="A766" t="s">
        <v>1492</v>
      </c>
      <c r="B766" t="s">
        <v>5233</v>
      </c>
      <c r="C766" t="s">
        <v>5234</v>
      </c>
      <c r="D766" t="s">
        <v>5235</v>
      </c>
      <c r="E766" t="s">
        <v>5236</v>
      </c>
      <c r="F766" t="s">
        <v>2546</v>
      </c>
      <c r="G766" t="s">
        <v>6210</v>
      </c>
      <c r="H766">
        <v>58122</v>
      </c>
      <c r="I766" t="s">
        <v>1938</v>
      </c>
      <c r="J766" t="s">
        <v>1492</v>
      </c>
    </row>
    <row r="767" spans="1:10" x14ac:dyDescent="0.25">
      <c r="A767" t="s">
        <v>1494</v>
      </c>
      <c r="B767" t="s">
        <v>5237</v>
      </c>
      <c r="C767" t="s">
        <v>5238</v>
      </c>
      <c r="D767" t="s">
        <v>5239</v>
      </c>
      <c r="E767" t="s">
        <v>5240</v>
      </c>
      <c r="F767" t="s">
        <v>2786</v>
      </c>
      <c r="G767" t="s">
        <v>6210</v>
      </c>
      <c r="H767">
        <v>75044</v>
      </c>
      <c r="I767" t="s">
        <v>1938</v>
      </c>
      <c r="J767" t="s">
        <v>1494</v>
      </c>
    </row>
    <row r="768" spans="1:10" x14ac:dyDescent="0.25">
      <c r="A768" t="s">
        <v>5241</v>
      </c>
      <c r="B768" t="s">
        <v>5242</v>
      </c>
      <c r="C768" t="s">
        <v>5243</v>
      </c>
      <c r="D768" t="s">
        <v>5244</v>
      </c>
      <c r="E768" t="s">
        <v>5245</v>
      </c>
      <c r="F768" t="s">
        <v>2283</v>
      </c>
      <c r="G768" t="s">
        <v>6210</v>
      </c>
      <c r="H768">
        <v>43231</v>
      </c>
      <c r="I768" t="s">
        <v>1947</v>
      </c>
      <c r="J768" t="s">
        <v>5241</v>
      </c>
    </row>
    <row r="769" spans="1:10" x14ac:dyDescent="0.25">
      <c r="A769" t="s">
        <v>5246</v>
      </c>
      <c r="B769" t="s">
        <v>5247</v>
      </c>
      <c r="C769" t="s">
        <v>5248</v>
      </c>
      <c r="D769" t="s">
        <v>5249</v>
      </c>
      <c r="E769" t="s">
        <v>5250</v>
      </c>
      <c r="F769" t="s">
        <v>2383</v>
      </c>
      <c r="G769" t="s">
        <v>6210</v>
      </c>
      <c r="H769">
        <v>78737</v>
      </c>
      <c r="I769" t="s">
        <v>1947</v>
      </c>
      <c r="J769" t="s">
        <v>5246</v>
      </c>
    </row>
    <row r="770" spans="1:10" x14ac:dyDescent="0.25">
      <c r="A770" t="s">
        <v>5251</v>
      </c>
      <c r="B770" t="s">
        <v>5252</v>
      </c>
      <c r="D770" t="s">
        <v>5253</v>
      </c>
      <c r="E770" t="s">
        <v>5254</v>
      </c>
      <c r="F770" t="s">
        <v>2739</v>
      </c>
      <c r="G770" t="s">
        <v>6210</v>
      </c>
      <c r="H770">
        <v>36104</v>
      </c>
      <c r="I770" t="s">
        <v>1938</v>
      </c>
      <c r="J770" t="s">
        <v>5251</v>
      </c>
    </row>
    <row r="771" spans="1:10" x14ac:dyDescent="0.25">
      <c r="A771" t="s">
        <v>1498</v>
      </c>
      <c r="B771" t="s">
        <v>5255</v>
      </c>
      <c r="C771" t="s">
        <v>5256</v>
      </c>
      <c r="D771" t="s">
        <v>5257</v>
      </c>
      <c r="E771" t="s">
        <v>5258</v>
      </c>
      <c r="F771" t="s">
        <v>2168</v>
      </c>
      <c r="G771" t="s">
        <v>2112</v>
      </c>
      <c r="H771" t="s">
        <v>3922</v>
      </c>
      <c r="I771" t="s">
        <v>1947</v>
      </c>
      <c r="J771" t="s">
        <v>1498</v>
      </c>
    </row>
    <row r="772" spans="1:10" x14ac:dyDescent="0.25">
      <c r="A772" t="s">
        <v>1500</v>
      </c>
      <c r="B772" t="s">
        <v>5259</v>
      </c>
      <c r="C772" t="s">
        <v>5260</v>
      </c>
      <c r="E772" t="s">
        <v>5261</v>
      </c>
      <c r="F772" t="s">
        <v>1958</v>
      </c>
      <c r="G772" t="s">
        <v>6210</v>
      </c>
      <c r="H772">
        <v>22156</v>
      </c>
      <c r="I772" t="s">
        <v>1947</v>
      </c>
      <c r="J772" t="s">
        <v>1500</v>
      </c>
    </row>
    <row r="773" spans="1:10" x14ac:dyDescent="0.25">
      <c r="A773" t="s">
        <v>1502</v>
      </c>
      <c r="B773" t="s">
        <v>5262</v>
      </c>
      <c r="C773" t="s">
        <v>5263</v>
      </c>
      <c r="D773" t="s">
        <v>5264</v>
      </c>
      <c r="E773" t="s">
        <v>5265</v>
      </c>
      <c r="F773" t="s">
        <v>5266</v>
      </c>
      <c r="G773" t="s">
        <v>6210</v>
      </c>
      <c r="H773">
        <v>80126</v>
      </c>
      <c r="I773" t="s">
        <v>1947</v>
      </c>
      <c r="J773" t="s">
        <v>1502</v>
      </c>
    </row>
    <row r="774" spans="1:10" x14ac:dyDescent="0.25">
      <c r="A774" t="s">
        <v>1504</v>
      </c>
      <c r="B774" t="s">
        <v>5267</v>
      </c>
      <c r="D774" t="s">
        <v>5268</v>
      </c>
      <c r="E774" t="s">
        <v>5269</v>
      </c>
      <c r="F774" t="s">
        <v>3311</v>
      </c>
      <c r="G774" t="s">
        <v>6210</v>
      </c>
      <c r="H774">
        <v>21275</v>
      </c>
      <c r="I774" t="s">
        <v>1947</v>
      </c>
      <c r="J774" t="s">
        <v>1504</v>
      </c>
    </row>
    <row r="775" spans="1:10" x14ac:dyDescent="0.25">
      <c r="A775" t="s">
        <v>1506</v>
      </c>
      <c r="B775" t="s">
        <v>5270</v>
      </c>
      <c r="C775" t="s">
        <v>5271</v>
      </c>
      <c r="D775" t="s">
        <v>5272</v>
      </c>
      <c r="E775" t="s">
        <v>5273</v>
      </c>
      <c r="F775" t="s">
        <v>2310</v>
      </c>
      <c r="G775" t="s">
        <v>1945</v>
      </c>
      <c r="H775" t="s">
        <v>2311</v>
      </c>
      <c r="I775" t="s">
        <v>1947</v>
      </c>
      <c r="J775" t="s">
        <v>1506</v>
      </c>
    </row>
    <row r="776" spans="1:10" x14ac:dyDescent="0.25">
      <c r="A776" t="s">
        <v>1508</v>
      </c>
      <c r="B776" t="s">
        <v>5274</v>
      </c>
      <c r="D776" t="s">
        <v>5275</v>
      </c>
      <c r="E776" t="s">
        <v>5276</v>
      </c>
      <c r="F776" t="s">
        <v>2187</v>
      </c>
      <c r="G776" t="s">
        <v>6210</v>
      </c>
      <c r="H776">
        <v>33345</v>
      </c>
      <c r="I776" t="s">
        <v>1938</v>
      </c>
      <c r="J776" t="s">
        <v>1508</v>
      </c>
    </row>
    <row r="777" spans="1:10" x14ac:dyDescent="0.25">
      <c r="A777" t="s">
        <v>1510</v>
      </c>
      <c r="B777" t="s">
        <v>5277</v>
      </c>
      <c r="C777" t="s">
        <v>5278</v>
      </c>
      <c r="D777" t="s">
        <v>5279</v>
      </c>
      <c r="E777" t="s">
        <v>5280</v>
      </c>
      <c r="F777" t="s">
        <v>3780</v>
      </c>
      <c r="G777" t="s">
        <v>6210</v>
      </c>
      <c r="H777">
        <v>92191</v>
      </c>
      <c r="I777" t="s">
        <v>1938</v>
      </c>
      <c r="J777" t="s">
        <v>1510</v>
      </c>
    </row>
    <row r="778" spans="1:10" x14ac:dyDescent="0.25">
      <c r="A778" t="s">
        <v>1512</v>
      </c>
      <c r="B778" t="s">
        <v>5281</v>
      </c>
      <c r="C778" t="s">
        <v>5282</v>
      </c>
      <c r="D778" t="s">
        <v>5283</v>
      </c>
      <c r="E778" t="s">
        <v>5284</v>
      </c>
      <c r="F778" t="s">
        <v>2321</v>
      </c>
      <c r="G778" t="s">
        <v>6210</v>
      </c>
      <c r="H778">
        <v>75216</v>
      </c>
      <c r="I778" t="s">
        <v>1947</v>
      </c>
      <c r="J778" t="s">
        <v>1512</v>
      </c>
    </row>
    <row r="779" spans="1:10" x14ac:dyDescent="0.25">
      <c r="A779" t="s">
        <v>1514</v>
      </c>
      <c r="B779" t="s">
        <v>5285</v>
      </c>
      <c r="C779" t="s">
        <v>5286</v>
      </c>
      <c r="E779" t="s">
        <v>5287</v>
      </c>
      <c r="F779" t="s">
        <v>3320</v>
      </c>
      <c r="G779" t="s">
        <v>6210</v>
      </c>
      <c r="H779">
        <v>60435</v>
      </c>
      <c r="I779" t="s">
        <v>1947</v>
      </c>
      <c r="J779" t="s">
        <v>1514</v>
      </c>
    </row>
    <row r="780" spans="1:10" x14ac:dyDescent="0.25">
      <c r="A780" t="s">
        <v>5288</v>
      </c>
      <c r="B780" t="s">
        <v>5289</v>
      </c>
      <c r="C780" t="s">
        <v>5290</v>
      </c>
      <c r="D780" t="s">
        <v>5291</v>
      </c>
      <c r="E780" t="s">
        <v>5292</v>
      </c>
      <c r="F780" t="s">
        <v>2044</v>
      </c>
      <c r="G780" t="s">
        <v>6210</v>
      </c>
      <c r="H780">
        <v>49510</v>
      </c>
      <c r="I780" t="s">
        <v>1938</v>
      </c>
      <c r="J780" t="s">
        <v>5288</v>
      </c>
    </row>
    <row r="781" spans="1:10" x14ac:dyDescent="0.25">
      <c r="A781" t="s">
        <v>1518</v>
      </c>
      <c r="B781" t="s">
        <v>5293</v>
      </c>
      <c r="C781" t="s">
        <v>5294</v>
      </c>
      <c r="D781" t="s">
        <v>5295</v>
      </c>
      <c r="E781" t="s">
        <v>5296</v>
      </c>
      <c r="F781" t="s">
        <v>2709</v>
      </c>
      <c r="G781" t="s">
        <v>6210</v>
      </c>
      <c r="H781">
        <v>34620</v>
      </c>
      <c r="I781" t="s">
        <v>1938</v>
      </c>
      <c r="J781" t="s">
        <v>1518</v>
      </c>
    </row>
    <row r="782" spans="1:10" x14ac:dyDescent="0.25">
      <c r="A782" t="s">
        <v>1520</v>
      </c>
      <c r="B782" t="s">
        <v>5297</v>
      </c>
      <c r="D782" t="s">
        <v>5298</v>
      </c>
      <c r="E782" t="s">
        <v>5299</v>
      </c>
      <c r="F782" t="s">
        <v>2133</v>
      </c>
      <c r="G782" t="s">
        <v>6210</v>
      </c>
      <c r="H782">
        <v>55441</v>
      </c>
      <c r="I782" t="s">
        <v>1947</v>
      </c>
      <c r="J782" t="s">
        <v>1520</v>
      </c>
    </row>
    <row r="783" spans="1:10" x14ac:dyDescent="0.25">
      <c r="A783" t="s">
        <v>1522</v>
      </c>
      <c r="B783" t="s">
        <v>5300</v>
      </c>
      <c r="C783" t="s">
        <v>5301</v>
      </c>
      <c r="D783" t="s">
        <v>5302</v>
      </c>
      <c r="E783" t="s">
        <v>5303</v>
      </c>
      <c r="F783" t="s">
        <v>3677</v>
      </c>
      <c r="G783" t="s">
        <v>6210</v>
      </c>
      <c r="H783">
        <v>30045</v>
      </c>
      <c r="I783" t="s">
        <v>1947</v>
      </c>
      <c r="J783" t="s">
        <v>1522</v>
      </c>
    </row>
    <row r="784" spans="1:10" x14ac:dyDescent="0.25">
      <c r="A784" t="s">
        <v>1524</v>
      </c>
      <c r="B784" t="s">
        <v>5304</v>
      </c>
      <c r="C784" t="s">
        <v>5305</v>
      </c>
      <c r="D784" t="s">
        <v>5306</v>
      </c>
      <c r="E784" t="s">
        <v>5307</v>
      </c>
      <c r="F784" t="s">
        <v>5308</v>
      </c>
      <c r="G784" t="s">
        <v>1945</v>
      </c>
      <c r="H784" t="s">
        <v>5309</v>
      </c>
      <c r="I784" t="s">
        <v>1947</v>
      </c>
      <c r="J784" t="s">
        <v>1524</v>
      </c>
    </row>
    <row r="785" spans="1:10" x14ac:dyDescent="0.25">
      <c r="A785" t="s">
        <v>1526</v>
      </c>
      <c r="B785" t="s">
        <v>5310</v>
      </c>
      <c r="C785" t="s">
        <v>5311</v>
      </c>
      <c r="D785" t="s">
        <v>5312</v>
      </c>
      <c r="E785" t="s">
        <v>5313</v>
      </c>
      <c r="F785" t="s">
        <v>2216</v>
      </c>
      <c r="G785" t="s">
        <v>6210</v>
      </c>
      <c r="H785">
        <v>33673</v>
      </c>
      <c r="I785" t="s">
        <v>1938</v>
      </c>
      <c r="J785" t="s">
        <v>1526</v>
      </c>
    </row>
    <row r="786" spans="1:10" x14ac:dyDescent="0.25">
      <c r="A786" t="s">
        <v>1528</v>
      </c>
      <c r="B786" t="s">
        <v>5314</v>
      </c>
      <c r="C786" t="s">
        <v>5315</v>
      </c>
      <c r="E786" t="s">
        <v>5316</v>
      </c>
      <c r="F786" t="s">
        <v>2502</v>
      </c>
      <c r="G786" t="s">
        <v>6210</v>
      </c>
      <c r="H786">
        <v>37240</v>
      </c>
      <c r="I786" t="s">
        <v>1947</v>
      </c>
      <c r="J786" t="s">
        <v>1528</v>
      </c>
    </row>
    <row r="787" spans="1:10" x14ac:dyDescent="0.25">
      <c r="A787" t="s">
        <v>1530</v>
      </c>
      <c r="B787" t="s">
        <v>5317</v>
      </c>
      <c r="C787" t="s">
        <v>5318</v>
      </c>
      <c r="D787" t="s">
        <v>5319</v>
      </c>
      <c r="E787" t="s">
        <v>5320</v>
      </c>
      <c r="F787" t="s">
        <v>3576</v>
      </c>
      <c r="G787" t="s">
        <v>6210</v>
      </c>
      <c r="H787">
        <v>33175</v>
      </c>
      <c r="I787" t="s">
        <v>1947</v>
      </c>
      <c r="J787" t="s">
        <v>1530</v>
      </c>
    </row>
    <row r="788" spans="1:10" x14ac:dyDescent="0.25">
      <c r="A788" t="s">
        <v>1516</v>
      </c>
      <c r="B788" t="s">
        <v>5321</v>
      </c>
      <c r="C788" t="s">
        <v>5322</v>
      </c>
      <c r="D788" t="s">
        <v>5323</v>
      </c>
      <c r="E788" t="s">
        <v>5324</v>
      </c>
      <c r="F788" t="s">
        <v>1972</v>
      </c>
      <c r="G788" t="s">
        <v>6210</v>
      </c>
      <c r="H788">
        <v>45426</v>
      </c>
      <c r="I788" t="s">
        <v>1938</v>
      </c>
      <c r="J788" t="s">
        <v>1516</v>
      </c>
    </row>
    <row r="789" spans="1:10" x14ac:dyDescent="0.25">
      <c r="A789" t="s">
        <v>1533</v>
      </c>
      <c r="B789" t="s">
        <v>5325</v>
      </c>
      <c r="D789" t="s">
        <v>5326</v>
      </c>
      <c r="E789" t="s">
        <v>5327</v>
      </c>
      <c r="F789" t="s">
        <v>2248</v>
      </c>
      <c r="G789" t="s">
        <v>6210</v>
      </c>
      <c r="H789">
        <v>60686</v>
      </c>
      <c r="I789" t="s">
        <v>1938</v>
      </c>
      <c r="J789" t="s">
        <v>1533</v>
      </c>
    </row>
    <row r="790" spans="1:10" x14ac:dyDescent="0.25">
      <c r="A790" t="s">
        <v>1535</v>
      </c>
      <c r="B790" t="s">
        <v>5328</v>
      </c>
      <c r="C790" t="s">
        <v>5329</v>
      </c>
      <c r="D790" t="s">
        <v>5330</v>
      </c>
      <c r="E790" t="s">
        <v>5331</v>
      </c>
      <c r="F790" t="s">
        <v>5332</v>
      </c>
      <c r="G790" t="s">
        <v>1945</v>
      </c>
      <c r="H790" t="s">
        <v>5333</v>
      </c>
      <c r="I790" t="s">
        <v>1938</v>
      </c>
      <c r="J790" t="s">
        <v>1535</v>
      </c>
    </row>
    <row r="791" spans="1:10" x14ac:dyDescent="0.25">
      <c r="A791" t="s">
        <v>1537</v>
      </c>
      <c r="B791" t="s">
        <v>5334</v>
      </c>
      <c r="C791" t="s">
        <v>5335</v>
      </c>
      <c r="D791" t="s">
        <v>5336</v>
      </c>
      <c r="E791" t="s">
        <v>5337</v>
      </c>
      <c r="F791" t="s">
        <v>2000</v>
      </c>
      <c r="G791" t="s">
        <v>6210</v>
      </c>
      <c r="H791">
        <v>94807</v>
      </c>
      <c r="I791" t="s">
        <v>1947</v>
      </c>
      <c r="J791" t="s">
        <v>1537</v>
      </c>
    </row>
    <row r="792" spans="1:10" x14ac:dyDescent="0.25">
      <c r="A792" t="s">
        <v>1539</v>
      </c>
      <c r="B792" t="s">
        <v>5338</v>
      </c>
      <c r="C792" t="s">
        <v>5339</v>
      </c>
      <c r="D792" t="s">
        <v>5340</v>
      </c>
      <c r="E792" t="s">
        <v>5341</v>
      </c>
      <c r="F792" t="s">
        <v>5342</v>
      </c>
      <c r="G792" t="s">
        <v>6210</v>
      </c>
      <c r="H792">
        <v>98506</v>
      </c>
      <c r="I792" t="s">
        <v>1947</v>
      </c>
      <c r="J792" t="s">
        <v>1539</v>
      </c>
    </row>
    <row r="793" spans="1:10" x14ac:dyDescent="0.25">
      <c r="A793" t="s">
        <v>1541</v>
      </c>
      <c r="B793" t="s">
        <v>5343</v>
      </c>
      <c r="C793" t="s">
        <v>5344</v>
      </c>
      <c r="D793" t="s">
        <v>5345</v>
      </c>
      <c r="E793" t="s">
        <v>5346</v>
      </c>
      <c r="F793" t="s">
        <v>2664</v>
      </c>
      <c r="G793" t="s">
        <v>6210</v>
      </c>
      <c r="H793">
        <v>76011</v>
      </c>
      <c r="I793" t="s">
        <v>1938</v>
      </c>
      <c r="J793" t="s">
        <v>1541</v>
      </c>
    </row>
    <row r="794" spans="1:10" x14ac:dyDescent="0.25">
      <c r="A794" t="s">
        <v>1543</v>
      </c>
      <c r="B794" t="s">
        <v>5347</v>
      </c>
      <c r="C794" t="s">
        <v>5348</v>
      </c>
      <c r="D794" t="s">
        <v>5349</v>
      </c>
      <c r="E794" t="s">
        <v>5350</v>
      </c>
      <c r="F794" t="s">
        <v>5351</v>
      </c>
      <c r="G794" t="s">
        <v>2112</v>
      </c>
      <c r="H794" t="s">
        <v>5352</v>
      </c>
      <c r="I794" t="s">
        <v>1938</v>
      </c>
      <c r="J794" t="s">
        <v>1543</v>
      </c>
    </row>
    <row r="795" spans="1:10" x14ac:dyDescent="0.25">
      <c r="A795" t="s">
        <v>1545</v>
      </c>
      <c r="B795" t="s">
        <v>5353</v>
      </c>
      <c r="C795" t="s">
        <v>5354</v>
      </c>
      <c r="D795" t="s">
        <v>5355</v>
      </c>
      <c r="E795" t="s">
        <v>5356</v>
      </c>
      <c r="F795" t="s">
        <v>2639</v>
      </c>
      <c r="G795" t="s">
        <v>6210</v>
      </c>
      <c r="H795">
        <v>24009</v>
      </c>
      <c r="I795" t="s">
        <v>1947</v>
      </c>
      <c r="J795" t="s">
        <v>1545</v>
      </c>
    </row>
    <row r="796" spans="1:10" x14ac:dyDescent="0.25">
      <c r="A796" t="s">
        <v>1547</v>
      </c>
      <c r="B796" t="s">
        <v>5357</v>
      </c>
      <c r="C796" t="s">
        <v>5358</v>
      </c>
      <c r="D796" t="s">
        <v>5359</v>
      </c>
      <c r="E796" t="s">
        <v>5360</v>
      </c>
      <c r="F796" t="s">
        <v>5361</v>
      </c>
      <c r="G796" t="s">
        <v>6210</v>
      </c>
      <c r="H796">
        <v>11044</v>
      </c>
      <c r="I796" t="s">
        <v>1947</v>
      </c>
      <c r="J796" t="s">
        <v>1547</v>
      </c>
    </row>
    <row r="797" spans="1:10" x14ac:dyDescent="0.25">
      <c r="A797" t="s">
        <v>1549</v>
      </c>
      <c r="B797" t="s">
        <v>5362</v>
      </c>
      <c r="C797" t="s">
        <v>5363</v>
      </c>
      <c r="D797" t="s">
        <v>5364</v>
      </c>
      <c r="E797" t="s">
        <v>5365</v>
      </c>
      <c r="F797" t="s">
        <v>3584</v>
      </c>
      <c r="G797" t="s">
        <v>6210</v>
      </c>
      <c r="H797">
        <v>92825</v>
      </c>
      <c r="I797" t="s">
        <v>1947</v>
      </c>
      <c r="J797" t="s">
        <v>1549</v>
      </c>
    </row>
    <row r="798" spans="1:10" x14ac:dyDescent="0.25">
      <c r="A798" t="s">
        <v>1551</v>
      </c>
      <c r="B798" t="s">
        <v>5366</v>
      </c>
      <c r="D798" t="s">
        <v>5367</v>
      </c>
      <c r="E798" t="s">
        <v>5368</v>
      </c>
      <c r="F798" t="s">
        <v>3315</v>
      </c>
      <c r="G798" t="s">
        <v>6210</v>
      </c>
      <c r="H798">
        <v>40596</v>
      </c>
      <c r="I798" t="s">
        <v>1947</v>
      </c>
      <c r="J798" t="s">
        <v>1551</v>
      </c>
    </row>
    <row r="799" spans="1:10" x14ac:dyDescent="0.25">
      <c r="A799" t="s">
        <v>1553</v>
      </c>
      <c r="B799" t="s">
        <v>5369</v>
      </c>
      <c r="C799" t="s">
        <v>5370</v>
      </c>
      <c r="D799" t="s">
        <v>5371</v>
      </c>
      <c r="E799" t="s">
        <v>5372</v>
      </c>
      <c r="F799" t="s">
        <v>2216</v>
      </c>
      <c r="G799" t="s">
        <v>6210</v>
      </c>
      <c r="H799">
        <v>33673</v>
      </c>
      <c r="I799" t="s">
        <v>1947</v>
      </c>
      <c r="J799" t="s">
        <v>1553</v>
      </c>
    </row>
    <row r="800" spans="1:10" x14ac:dyDescent="0.25">
      <c r="A800" t="s">
        <v>1555</v>
      </c>
      <c r="B800" t="s">
        <v>5373</v>
      </c>
      <c r="C800" t="s">
        <v>5374</v>
      </c>
      <c r="D800" t="s">
        <v>5375</v>
      </c>
      <c r="E800" t="s">
        <v>5376</v>
      </c>
      <c r="F800" t="s">
        <v>1991</v>
      </c>
      <c r="G800" t="s">
        <v>6210</v>
      </c>
      <c r="H800">
        <v>95138</v>
      </c>
      <c r="I800" t="s">
        <v>1938</v>
      </c>
      <c r="J800" t="s">
        <v>1555</v>
      </c>
    </row>
    <row r="801" spans="1:10" x14ac:dyDescent="0.25">
      <c r="A801" t="s">
        <v>1557</v>
      </c>
      <c r="B801" t="s">
        <v>5377</v>
      </c>
      <c r="E801" t="s">
        <v>5378</v>
      </c>
      <c r="F801" t="s">
        <v>2182</v>
      </c>
      <c r="G801" t="s">
        <v>6210</v>
      </c>
      <c r="H801">
        <v>20470</v>
      </c>
      <c r="I801" t="s">
        <v>1938</v>
      </c>
      <c r="J801" t="s">
        <v>1557</v>
      </c>
    </row>
    <row r="802" spans="1:10" x14ac:dyDescent="0.25">
      <c r="A802" t="s">
        <v>1559</v>
      </c>
      <c r="B802" t="s">
        <v>5379</v>
      </c>
      <c r="C802" t="s">
        <v>5380</v>
      </c>
      <c r="D802" t="s">
        <v>5381</v>
      </c>
      <c r="E802" t="s">
        <v>5382</v>
      </c>
      <c r="F802" t="s">
        <v>4411</v>
      </c>
      <c r="G802" t="s">
        <v>1945</v>
      </c>
      <c r="H802" t="s">
        <v>4412</v>
      </c>
      <c r="I802" t="s">
        <v>1947</v>
      </c>
      <c r="J802" t="s">
        <v>1559</v>
      </c>
    </row>
    <row r="803" spans="1:10" x14ac:dyDescent="0.25">
      <c r="A803" t="s">
        <v>1561</v>
      </c>
      <c r="B803" t="s">
        <v>5383</v>
      </c>
      <c r="C803" t="s">
        <v>5384</v>
      </c>
      <c r="D803" t="s">
        <v>5385</v>
      </c>
      <c r="E803" t="s">
        <v>5386</v>
      </c>
      <c r="F803" t="s">
        <v>5342</v>
      </c>
      <c r="G803" t="s">
        <v>6210</v>
      </c>
      <c r="H803">
        <v>98506</v>
      </c>
      <c r="I803" t="s">
        <v>1938</v>
      </c>
      <c r="J803" t="s">
        <v>1561</v>
      </c>
    </row>
    <row r="804" spans="1:10" x14ac:dyDescent="0.25">
      <c r="A804" t="s">
        <v>1563</v>
      </c>
      <c r="B804" t="s">
        <v>5387</v>
      </c>
      <c r="C804" t="s">
        <v>5388</v>
      </c>
      <c r="D804" t="s">
        <v>5389</v>
      </c>
      <c r="E804" t="s">
        <v>5390</v>
      </c>
      <c r="F804" t="s">
        <v>5391</v>
      </c>
      <c r="G804" t="s">
        <v>6210</v>
      </c>
      <c r="H804">
        <v>75185</v>
      </c>
      <c r="I804" t="s">
        <v>1947</v>
      </c>
      <c r="J804" t="s">
        <v>1563</v>
      </c>
    </row>
    <row r="805" spans="1:10" x14ac:dyDescent="0.25">
      <c r="A805" t="s">
        <v>1565</v>
      </c>
      <c r="B805" t="s">
        <v>5392</v>
      </c>
      <c r="C805" t="s">
        <v>5393</v>
      </c>
      <c r="E805" t="s">
        <v>5394</v>
      </c>
      <c r="F805" t="s">
        <v>2994</v>
      </c>
      <c r="G805" t="s">
        <v>6210</v>
      </c>
      <c r="H805">
        <v>94207</v>
      </c>
      <c r="I805" t="s">
        <v>1947</v>
      </c>
      <c r="J805" t="s">
        <v>1565</v>
      </c>
    </row>
    <row r="806" spans="1:10" x14ac:dyDescent="0.25">
      <c r="A806" t="s">
        <v>1567</v>
      </c>
      <c r="B806" t="s">
        <v>5395</v>
      </c>
      <c r="D806" t="s">
        <v>5396</v>
      </c>
      <c r="E806" t="s">
        <v>5397</v>
      </c>
      <c r="F806" t="s">
        <v>3159</v>
      </c>
      <c r="G806" t="s">
        <v>2112</v>
      </c>
      <c r="H806" t="s">
        <v>3160</v>
      </c>
      <c r="I806" t="s">
        <v>1947</v>
      </c>
      <c r="J806" t="s">
        <v>1567</v>
      </c>
    </row>
    <row r="807" spans="1:10" x14ac:dyDescent="0.25">
      <c r="A807" t="s">
        <v>1569</v>
      </c>
      <c r="B807" t="s">
        <v>5398</v>
      </c>
      <c r="D807" t="s">
        <v>5399</v>
      </c>
      <c r="E807" t="s">
        <v>5400</v>
      </c>
      <c r="F807" t="s">
        <v>5401</v>
      </c>
      <c r="G807" t="s">
        <v>6210</v>
      </c>
      <c r="H807">
        <v>55590</v>
      </c>
      <c r="I807" t="s">
        <v>1947</v>
      </c>
      <c r="J807" t="s">
        <v>1569</v>
      </c>
    </row>
    <row r="808" spans="1:10" x14ac:dyDescent="0.25">
      <c r="A808" t="s">
        <v>1571</v>
      </c>
      <c r="B808" t="s">
        <v>5402</v>
      </c>
      <c r="E808" t="s">
        <v>5403</v>
      </c>
      <c r="F808" t="s">
        <v>2195</v>
      </c>
      <c r="G808" t="s">
        <v>2112</v>
      </c>
      <c r="H808" t="s">
        <v>2196</v>
      </c>
      <c r="I808" t="s">
        <v>1938</v>
      </c>
      <c r="J808" t="s">
        <v>1571</v>
      </c>
    </row>
    <row r="809" spans="1:10" x14ac:dyDescent="0.25">
      <c r="A809" t="s">
        <v>1573</v>
      </c>
      <c r="B809" t="s">
        <v>5404</v>
      </c>
      <c r="C809" t="s">
        <v>5405</v>
      </c>
      <c r="D809" t="s">
        <v>5406</v>
      </c>
      <c r="E809" t="s">
        <v>5407</v>
      </c>
      <c r="F809" t="s">
        <v>3758</v>
      </c>
      <c r="G809" t="s">
        <v>1945</v>
      </c>
      <c r="H809" t="s">
        <v>3759</v>
      </c>
      <c r="I809" t="s">
        <v>1947</v>
      </c>
      <c r="J809" t="s">
        <v>1573</v>
      </c>
    </row>
    <row r="810" spans="1:10" x14ac:dyDescent="0.25">
      <c r="A810" t="s">
        <v>5408</v>
      </c>
      <c r="B810" t="s">
        <v>5409</v>
      </c>
      <c r="C810" t="s">
        <v>5410</v>
      </c>
      <c r="D810" t="s">
        <v>5411</v>
      </c>
      <c r="E810" t="s">
        <v>5412</v>
      </c>
      <c r="F810" t="s">
        <v>2095</v>
      </c>
      <c r="G810" t="s">
        <v>6210</v>
      </c>
      <c r="H810">
        <v>11499</v>
      </c>
      <c r="I810" t="s">
        <v>1938</v>
      </c>
      <c r="J810" t="s">
        <v>5408</v>
      </c>
    </row>
    <row r="811" spans="1:10" x14ac:dyDescent="0.25">
      <c r="A811" t="s">
        <v>1577</v>
      </c>
      <c r="B811" t="s">
        <v>5413</v>
      </c>
      <c r="D811" t="s">
        <v>5414</v>
      </c>
      <c r="E811" t="s">
        <v>5415</v>
      </c>
      <c r="F811" t="s">
        <v>2444</v>
      </c>
      <c r="G811" t="s">
        <v>6210</v>
      </c>
      <c r="H811">
        <v>79934</v>
      </c>
      <c r="I811" t="s">
        <v>1938</v>
      </c>
      <c r="J811" t="s">
        <v>1577</v>
      </c>
    </row>
    <row r="812" spans="1:10" x14ac:dyDescent="0.25">
      <c r="A812" t="s">
        <v>1579</v>
      </c>
      <c r="B812" t="s">
        <v>5416</v>
      </c>
      <c r="C812" t="s">
        <v>5417</v>
      </c>
      <c r="D812" t="s">
        <v>5418</v>
      </c>
      <c r="E812" t="s">
        <v>5419</v>
      </c>
      <c r="F812" t="s">
        <v>5420</v>
      </c>
      <c r="G812" t="s">
        <v>6210</v>
      </c>
      <c r="H812">
        <v>34643</v>
      </c>
      <c r="I812" t="s">
        <v>1947</v>
      </c>
      <c r="J812" t="s">
        <v>1579</v>
      </c>
    </row>
    <row r="813" spans="1:10" x14ac:dyDescent="0.25">
      <c r="A813" t="s">
        <v>1581</v>
      </c>
      <c r="B813" t="s">
        <v>5421</v>
      </c>
      <c r="C813" t="s">
        <v>5422</v>
      </c>
      <c r="D813" t="s">
        <v>5423</v>
      </c>
      <c r="E813" t="s">
        <v>5424</v>
      </c>
      <c r="F813" t="s">
        <v>5425</v>
      </c>
      <c r="G813" t="s">
        <v>1945</v>
      </c>
      <c r="H813" t="s">
        <v>2079</v>
      </c>
      <c r="I813" t="s">
        <v>1938</v>
      </c>
      <c r="J813" t="s">
        <v>1581</v>
      </c>
    </row>
    <row r="814" spans="1:10" x14ac:dyDescent="0.25">
      <c r="A814" t="s">
        <v>5426</v>
      </c>
      <c r="B814" t="s">
        <v>5427</v>
      </c>
      <c r="C814" t="s">
        <v>5428</v>
      </c>
      <c r="D814" t="s">
        <v>5429</v>
      </c>
      <c r="E814" t="s">
        <v>5430</v>
      </c>
      <c r="F814" t="s">
        <v>5431</v>
      </c>
      <c r="G814" t="s">
        <v>2112</v>
      </c>
      <c r="H814" t="s">
        <v>5432</v>
      </c>
      <c r="I814" t="s">
        <v>1938</v>
      </c>
      <c r="J814" t="s">
        <v>5426</v>
      </c>
    </row>
    <row r="815" spans="1:10" x14ac:dyDescent="0.25">
      <c r="A815" t="s">
        <v>1583</v>
      </c>
      <c r="B815" t="s">
        <v>5433</v>
      </c>
      <c r="C815" t="s">
        <v>5434</v>
      </c>
      <c r="D815" t="s">
        <v>5435</v>
      </c>
      <c r="E815" t="s">
        <v>5436</v>
      </c>
      <c r="F815" t="s">
        <v>2358</v>
      </c>
      <c r="G815" t="s">
        <v>6210</v>
      </c>
      <c r="H815">
        <v>73179</v>
      </c>
      <c r="I815" t="s">
        <v>1938</v>
      </c>
      <c r="J815" t="s">
        <v>1583</v>
      </c>
    </row>
    <row r="816" spans="1:10" x14ac:dyDescent="0.25">
      <c r="A816" t="s">
        <v>1585</v>
      </c>
      <c r="B816" t="s">
        <v>5437</v>
      </c>
      <c r="C816" t="s">
        <v>5438</v>
      </c>
      <c r="D816" t="s">
        <v>5439</v>
      </c>
      <c r="E816" t="s">
        <v>5440</v>
      </c>
      <c r="F816" t="s">
        <v>2182</v>
      </c>
      <c r="G816" t="s">
        <v>6210</v>
      </c>
      <c r="H816">
        <v>20051</v>
      </c>
      <c r="I816" t="s">
        <v>1947</v>
      </c>
      <c r="J816" t="s">
        <v>1585</v>
      </c>
    </row>
    <row r="817" spans="1:10" x14ac:dyDescent="0.25">
      <c r="A817" t="s">
        <v>1587</v>
      </c>
      <c r="B817" t="s">
        <v>5441</v>
      </c>
      <c r="C817" t="s">
        <v>5442</v>
      </c>
      <c r="D817" t="s">
        <v>5443</v>
      </c>
      <c r="E817" t="s">
        <v>5444</v>
      </c>
      <c r="F817" t="s">
        <v>3044</v>
      </c>
      <c r="G817" t="s">
        <v>6210</v>
      </c>
      <c r="H817">
        <v>30351</v>
      </c>
      <c r="I817" t="s">
        <v>1947</v>
      </c>
      <c r="J817" t="s">
        <v>1587</v>
      </c>
    </row>
    <row r="818" spans="1:10" x14ac:dyDescent="0.25">
      <c r="A818" t="s">
        <v>1589</v>
      </c>
      <c r="B818" t="s">
        <v>5445</v>
      </c>
      <c r="C818" t="s">
        <v>5446</v>
      </c>
      <c r="D818" t="s">
        <v>5447</v>
      </c>
      <c r="E818" t="s">
        <v>5448</v>
      </c>
      <c r="F818" t="s">
        <v>2700</v>
      </c>
      <c r="G818" t="s">
        <v>1945</v>
      </c>
      <c r="H818" t="s">
        <v>2701</v>
      </c>
      <c r="I818" t="s">
        <v>1947</v>
      </c>
      <c r="J818" t="s">
        <v>1589</v>
      </c>
    </row>
    <row r="819" spans="1:10" x14ac:dyDescent="0.25">
      <c r="A819" t="s">
        <v>1591</v>
      </c>
      <c r="B819" t="s">
        <v>5449</v>
      </c>
      <c r="C819" t="s">
        <v>5450</v>
      </c>
      <c r="E819" t="s">
        <v>5451</v>
      </c>
      <c r="F819" t="s">
        <v>2346</v>
      </c>
      <c r="G819" t="s">
        <v>6210</v>
      </c>
      <c r="H819">
        <v>14276</v>
      </c>
      <c r="I819" t="s">
        <v>1947</v>
      </c>
      <c r="J819" t="s">
        <v>1591</v>
      </c>
    </row>
    <row r="820" spans="1:10" x14ac:dyDescent="0.25">
      <c r="A820" t="s">
        <v>1575</v>
      </c>
      <c r="B820" t="s">
        <v>5452</v>
      </c>
      <c r="D820" t="s">
        <v>5453</v>
      </c>
      <c r="E820" t="s">
        <v>5454</v>
      </c>
      <c r="F820" t="s">
        <v>2023</v>
      </c>
      <c r="G820" t="s">
        <v>6210</v>
      </c>
      <c r="H820">
        <v>77260</v>
      </c>
      <c r="I820" t="s">
        <v>1947</v>
      </c>
      <c r="J820" t="s">
        <v>1575</v>
      </c>
    </row>
    <row r="821" spans="1:10" x14ac:dyDescent="0.25">
      <c r="A821" t="s">
        <v>1594</v>
      </c>
      <c r="B821" t="s">
        <v>5455</v>
      </c>
      <c r="C821" t="s">
        <v>5456</v>
      </c>
      <c r="D821" t="s">
        <v>5457</v>
      </c>
      <c r="E821" t="s">
        <v>5458</v>
      </c>
      <c r="F821" t="s">
        <v>2182</v>
      </c>
      <c r="G821" t="s">
        <v>6210</v>
      </c>
      <c r="H821">
        <v>20470</v>
      </c>
      <c r="I821" t="s">
        <v>1938</v>
      </c>
      <c r="J821" t="s">
        <v>1594</v>
      </c>
    </row>
    <row r="822" spans="1:10" x14ac:dyDescent="0.25">
      <c r="A822" t="s">
        <v>1596</v>
      </c>
      <c r="B822" t="s">
        <v>5459</v>
      </c>
      <c r="C822" t="s">
        <v>5460</v>
      </c>
      <c r="D822" t="s">
        <v>5461</v>
      </c>
      <c r="E822" t="s">
        <v>5462</v>
      </c>
      <c r="F822" t="s">
        <v>2383</v>
      </c>
      <c r="G822" t="s">
        <v>6210</v>
      </c>
      <c r="H822">
        <v>78764</v>
      </c>
      <c r="I822" t="s">
        <v>1938</v>
      </c>
      <c r="J822" t="s">
        <v>1596</v>
      </c>
    </row>
    <row r="823" spans="1:10" x14ac:dyDescent="0.25">
      <c r="A823" t="s">
        <v>1598</v>
      </c>
      <c r="B823" t="s">
        <v>5463</v>
      </c>
      <c r="C823" t="s">
        <v>5464</v>
      </c>
      <c r="D823" t="s">
        <v>5465</v>
      </c>
      <c r="E823" t="s">
        <v>5466</v>
      </c>
      <c r="F823" t="s">
        <v>2830</v>
      </c>
      <c r="G823" t="s">
        <v>6210</v>
      </c>
      <c r="H823">
        <v>85205</v>
      </c>
      <c r="I823" t="s">
        <v>1947</v>
      </c>
      <c r="J823" t="s">
        <v>1598</v>
      </c>
    </row>
    <row r="824" spans="1:10" x14ac:dyDescent="0.25">
      <c r="A824" t="s">
        <v>1600</v>
      </c>
      <c r="B824" t="s">
        <v>5467</v>
      </c>
      <c r="C824" t="s">
        <v>5468</v>
      </c>
      <c r="D824" t="s">
        <v>5469</v>
      </c>
      <c r="E824" t="s">
        <v>5470</v>
      </c>
      <c r="F824" t="s">
        <v>5471</v>
      </c>
      <c r="G824" t="s">
        <v>6210</v>
      </c>
      <c r="H824">
        <v>31416</v>
      </c>
      <c r="I824" t="s">
        <v>1947</v>
      </c>
      <c r="J824" t="s">
        <v>1600</v>
      </c>
    </row>
    <row r="825" spans="1:10" x14ac:dyDescent="0.25">
      <c r="A825" t="s">
        <v>1602</v>
      </c>
      <c r="B825" t="s">
        <v>5472</v>
      </c>
      <c r="C825" t="s">
        <v>5473</v>
      </c>
      <c r="D825" t="s">
        <v>5474</v>
      </c>
      <c r="E825" t="s">
        <v>5475</v>
      </c>
      <c r="F825" t="s">
        <v>5476</v>
      </c>
      <c r="G825" t="s">
        <v>6210</v>
      </c>
      <c r="H825">
        <v>87140</v>
      </c>
      <c r="I825" t="s">
        <v>1938</v>
      </c>
      <c r="J825" t="s">
        <v>1602</v>
      </c>
    </row>
    <row r="826" spans="1:10" x14ac:dyDescent="0.25">
      <c r="A826" t="s">
        <v>1604</v>
      </c>
      <c r="B826" t="s">
        <v>5477</v>
      </c>
      <c r="C826" t="s">
        <v>5478</v>
      </c>
      <c r="E826" t="s">
        <v>5479</v>
      </c>
      <c r="F826" t="s">
        <v>2296</v>
      </c>
      <c r="G826" t="s">
        <v>6210</v>
      </c>
      <c r="H826">
        <v>28299</v>
      </c>
      <c r="I826" t="s">
        <v>1938</v>
      </c>
      <c r="J826" t="s">
        <v>1604</v>
      </c>
    </row>
    <row r="827" spans="1:10" x14ac:dyDescent="0.25">
      <c r="A827" t="s">
        <v>5480</v>
      </c>
      <c r="B827" t="s">
        <v>5481</v>
      </c>
      <c r="C827" t="s">
        <v>5482</v>
      </c>
      <c r="D827" t="s">
        <v>5483</v>
      </c>
      <c r="E827" t="s">
        <v>5484</v>
      </c>
      <c r="F827" t="s">
        <v>3780</v>
      </c>
      <c r="G827" t="s">
        <v>6210</v>
      </c>
      <c r="H827">
        <v>92191</v>
      </c>
      <c r="I827" t="s">
        <v>1938</v>
      </c>
      <c r="J827" t="s">
        <v>5480</v>
      </c>
    </row>
    <row r="828" spans="1:10" x14ac:dyDescent="0.25">
      <c r="A828" t="s">
        <v>1608</v>
      </c>
      <c r="B828" t="s">
        <v>5485</v>
      </c>
      <c r="C828" t="s">
        <v>5486</v>
      </c>
      <c r="D828" t="s">
        <v>5487</v>
      </c>
      <c r="E828" t="s">
        <v>5488</v>
      </c>
      <c r="F828" t="s">
        <v>2221</v>
      </c>
      <c r="G828" t="s">
        <v>6210</v>
      </c>
      <c r="H828">
        <v>32575</v>
      </c>
      <c r="I828" t="s">
        <v>1938</v>
      </c>
      <c r="J828" t="s">
        <v>1608</v>
      </c>
    </row>
    <row r="829" spans="1:10" x14ac:dyDescent="0.25">
      <c r="A829" t="s">
        <v>1610</v>
      </c>
      <c r="B829" t="s">
        <v>5489</v>
      </c>
      <c r="C829" t="s">
        <v>5490</v>
      </c>
      <c r="D829" t="s">
        <v>5491</v>
      </c>
      <c r="E829" t="s">
        <v>5492</v>
      </c>
      <c r="F829" t="s">
        <v>2182</v>
      </c>
      <c r="G829" t="s">
        <v>6210</v>
      </c>
      <c r="H829">
        <v>20470</v>
      </c>
      <c r="I829" t="s">
        <v>1947</v>
      </c>
      <c r="J829" t="s">
        <v>1610</v>
      </c>
    </row>
    <row r="830" spans="1:10" x14ac:dyDescent="0.25">
      <c r="A830" t="s">
        <v>1612</v>
      </c>
      <c r="B830" t="s">
        <v>5493</v>
      </c>
      <c r="C830" t="s">
        <v>5494</v>
      </c>
      <c r="D830" t="s">
        <v>5495</v>
      </c>
      <c r="E830" t="s">
        <v>5496</v>
      </c>
      <c r="F830" t="s">
        <v>5497</v>
      </c>
      <c r="G830" t="s">
        <v>6210</v>
      </c>
      <c r="H830">
        <v>34985</v>
      </c>
      <c r="I830" t="s">
        <v>1938</v>
      </c>
      <c r="J830" t="s">
        <v>1612</v>
      </c>
    </row>
    <row r="831" spans="1:10" x14ac:dyDescent="0.25">
      <c r="A831" t="s">
        <v>1614</v>
      </c>
      <c r="B831" t="s">
        <v>5498</v>
      </c>
      <c r="C831" t="s">
        <v>5499</v>
      </c>
      <c r="D831" t="s">
        <v>5500</v>
      </c>
      <c r="E831" t="s">
        <v>5501</v>
      </c>
      <c r="F831" t="s">
        <v>2477</v>
      </c>
      <c r="G831" t="s">
        <v>6210</v>
      </c>
      <c r="H831">
        <v>25705</v>
      </c>
      <c r="I831" t="s">
        <v>1947</v>
      </c>
      <c r="J831" t="s">
        <v>1614</v>
      </c>
    </row>
    <row r="832" spans="1:10" x14ac:dyDescent="0.25">
      <c r="A832" t="s">
        <v>1616</v>
      </c>
      <c r="B832" t="s">
        <v>5502</v>
      </c>
      <c r="C832" t="s">
        <v>5503</v>
      </c>
      <c r="D832" t="s">
        <v>5504</v>
      </c>
      <c r="E832" t="s">
        <v>5505</v>
      </c>
      <c r="F832" t="s">
        <v>2013</v>
      </c>
      <c r="G832" t="s">
        <v>6210</v>
      </c>
      <c r="H832">
        <v>19172</v>
      </c>
      <c r="I832" t="s">
        <v>1947</v>
      </c>
      <c r="J832" t="s">
        <v>1616</v>
      </c>
    </row>
    <row r="833" spans="1:10" x14ac:dyDescent="0.25">
      <c r="A833" t="s">
        <v>1606</v>
      </c>
      <c r="B833" t="s">
        <v>5506</v>
      </c>
      <c r="C833" t="s">
        <v>5507</v>
      </c>
      <c r="D833" t="s">
        <v>5508</v>
      </c>
      <c r="E833" t="s">
        <v>5509</v>
      </c>
      <c r="F833" t="s">
        <v>2358</v>
      </c>
      <c r="G833" t="s">
        <v>6210</v>
      </c>
      <c r="H833">
        <v>73167</v>
      </c>
      <c r="I833" t="s">
        <v>1938</v>
      </c>
      <c r="J833" t="s">
        <v>1606</v>
      </c>
    </row>
    <row r="834" spans="1:10" x14ac:dyDescent="0.25">
      <c r="A834" t="s">
        <v>1618</v>
      </c>
      <c r="B834" t="s">
        <v>5510</v>
      </c>
      <c r="C834" t="s">
        <v>5511</v>
      </c>
      <c r="D834" t="s">
        <v>5512</v>
      </c>
      <c r="E834" t="s">
        <v>5513</v>
      </c>
      <c r="F834" t="s">
        <v>2243</v>
      </c>
      <c r="G834" t="s">
        <v>6210</v>
      </c>
      <c r="H834">
        <v>34114</v>
      </c>
      <c r="I834" t="s">
        <v>1947</v>
      </c>
      <c r="J834" t="s">
        <v>1618</v>
      </c>
    </row>
    <row r="835" spans="1:10" x14ac:dyDescent="0.25">
      <c r="A835" t="s">
        <v>1620</v>
      </c>
      <c r="B835" t="s">
        <v>5514</v>
      </c>
      <c r="C835" t="s">
        <v>5515</v>
      </c>
      <c r="D835" t="s">
        <v>5516</v>
      </c>
      <c r="E835" t="s">
        <v>5517</v>
      </c>
      <c r="F835" t="s">
        <v>2262</v>
      </c>
      <c r="G835" t="s">
        <v>6210</v>
      </c>
      <c r="H835">
        <v>76105</v>
      </c>
      <c r="I835" t="s">
        <v>1938</v>
      </c>
      <c r="J835" t="s">
        <v>1620</v>
      </c>
    </row>
    <row r="836" spans="1:10" x14ac:dyDescent="0.25">
      <c r="A836" t="s">
        <v>1622</v>
      </c>
      <c r="B836" t="s">
        <v>5518</v>
      </c>
      <c r="C836" t="s">
        <v>5519</v>
      </c>
      <c r="D836" t="s">
        <v>5520</v>
      </c>
      <c r="E836" t="s">
        <v>5521</v>
      </c>
      <c r="F836" t="s">
        <v>5522</v>
      </c>
      <c r="G836" t="s">
        <v>6210</v>
      </c>
      <c r="H836">
        <v>68117</v>
      </c>
      <c r="I836" t="s">
        <v>1947</v>
      </c>
      <c r="J836" t="s">
        <v>1622</v>
      </c>
    </row>
    <row r="837" spans="1:10" x14ac:dyDescent="0.25">
      <c r="A837" t="s">
        <v>1624</v>
      </c>
      <c r="B837" t="s">
        <v>5523</v>
      </c>
      <c r="C837" t="s">
        <v>5524</v>
      </c>
      <c r="E837" t="s">
        <v>5525</v>
      </c>
      <c r="F837" t="s">
        <v>2136</v>
      </c>
      <c r="G837" t="s">
        <v>6210</v>
      </c>
      <c r="H837">
        <v>85732</v>
      </c>
      <c r="I837" t="s">
        <v>1938</v>
      </c>
      <c r="J837" t="s">
        <v>1624</v>
      </c>
    </row>
    <row r="838" spans="1:10" x14ac:dyDescent="0.25">
      <c r="A838" t="s">
        <v>1626</v>
      </c>
      <c r="B838" t="s">
        <v>5526</v>
      </c>
      <c r="C838" t="s">
        <v>5527</v>
      </c>
      <c r="D838" t="s">
        <v>5528</v>
      </c>
      <c r="E838" t="s">
        <v>5529</v>
      </c>
      <c r="F838" t="s">
        <v>2743</v>
      </c>
      <c r="G838" t="s">
        <v>6210</v>
      </c>
      <c r="H838">
        <v>89436</v>
      </c>
      <c r="I838" t="s">
        <v>1947</v>
      </c>
      <c r="J838" t="s">
        <v>1626</v>
      </c>
    </row>
    <row r="839" spans="1:10" x14ac:dyDescent="0.25">
      <c r="A839" t="s">
        <v>5530</v>
      </c>
      <c r="B839" t="s">
        <v>5531</v>
      </c>
      <c r="C839" t="s">
        <v>5532</v>
      </c>
      <c r="D839" t="s">
        <v>5533</v>
      </c>
      <c r="E839" t="s">
        <v>5534</v>
      </c>
      <c r="F839" t="s">
        <v>4396</v>
      </c>
      <c r="G839" t="s">
        <v>6210</v>
      </c>
      <c r="H839">
        <v>32835</v>
      </c>
      <c r="I839" t="s">
        <v>1938</v>
      </c>
      <c r="J839" t="s">
        <v>5530</v>
      </c>
    </row>
    <row r="840" spans="1:10" x14ac:dyDescent="0.25">
      <c r="A840" t="s">
        <v>1629</v>
      </c>
      <c r="B840" t="s">
        <v>5535</v>
      </c>
      <c r="C840" t="s">
        <v>5536</v>
      </c>
      <c r="D840" t="s">
        <v>5537</v>
      </c>
      <c r="E840" t="s">
        <v>5538</v>
      </c>
      <c r="F840" t="s">
        <v>2182</v>
      </c>
      <c r="G840" t="s">
        <v>6210</v>
      </c>
      <c r="H840">
        <v>20067</v>
      </c>
      <c r="I840" t="s">
        <v>1947</v>
      </c>
      <c r="J840" t="s">
        <v>1629</v>
      </c>
    </row>
    <row r="841" spans="1:10" x14ac:dyDescent="0.25">
      <c r="A841" t="s">
        <v>1631</v>
      </c>
      <c r="B841" t="s">
        <v>5539</v>
      </c>
      <c r="C841" t="s">
        <v>5540</v>
      </c>
      <c r="D841" t="s">
        <v>5541</v>
      </c>
      <c r="E841" t="s">
        <v>5542</v>
      </c>
      <c r="F841" t="s">
        <v>5543</v>
      </c>
      <c r="G841" t="s">
        <v>6210</v>
      </c>
      <c r="H841">
        <v>93907</v>
      </c>
      <c r="I841" t="s">
        <v>1947</v>
      </c>
      <c r="J841" t="s">
        <v>1631</v>
      </c>
    </row>
    <row r="842" spans="1:10" x14ac:dyDescent="0.25">
      <c r="A842" t="s">
        <v>1633</v>
      </c>
      <c r="B842" t="s">
        <v>5544</v>
      </c>
      <c r="C842" t="s">
        <v>5545</v>
      </c>
      <c r="D842" t="s">
        <v>5546</v>
      </c>
      <c r="E842" t="s">
        <v>5547</v>
      </c>
      <c r="F842" t="s">
        <v>2187</v>
      </c>
      <c r="G842" t="s">
        <v>6210</v>
      </c>
      <c r="H842">
        <v>33345</v>
      </c>
      <c r="I842" t="s">
        <v>1938</v>
      </c>
      <c r="J842" t="s">
        <v>1633</v>
      </c>
    </row>
    <row r="843" spans="1:10" x14ac:dyDescent="0.25">
      <c r="A843" t="s">
        <v>1635</v>
      </c>
      <c r="B843" t="s">
        <v>5548</v>
      </c>
      <c r="C843" t="s">
        <v>5549</v>
      </c>
      <c r="E843" t="s">
        <v>5550</v>
      </c>
      <c r="F843" t="s">
        <v>2444</v>
      </c>
      <c r="G843" t="s">
        <v>6210</v>
      </c>
      <c r="H843">
        <v>88553</v>
      </c>
      <c r="I843" t="s">
        <v>1947</v>
      </c>
      <c r="J843" t="s">
        <v>1635</v>
      </c>
    </row>
    <row r="844" spans="1:10" x14ac:dyDescent="0.25">
      <c r="A844" t="s">
        <v>5551</v>
      </c>
      <c r="B844" t="s">
        <v>5552</v>
      </c>
      <c r="C844" t="s">
        <v>5553</v>
      </c>
      <c r="E844" t="s">
        <v>5554</v>
      </c>
      <c r="F844" t="s">
        <v>5555</v>
      </c>
      <c r="G844" t="s">
        <v>6210</v>
      </c>
      <c r="H844">
        <v>91210</v>
      </c>
      <c r="I844" t="s">
        <v>1938</v>
      </c>
      <c r="J844" t="s">
        <v>5551</v>
      </c>
    </row>
    <row r="845" spans="1:10" x14ac:dyDescent="0.25">
      <c r="A845" t="s">
        <v>1638</v>
      </c>
      <c r="B845" t="s">
        <v>5556</v>
      </c>
      <c r="C845" t="s">
        <v>5557</v>
      </c>
      <c r="D845" t="s">
        <v>5558</v>
      </c>
      <c r="E845" t="s">
        <v>5559</v>
      </c>
      <c r="F845" t="s">
        <v>2695</v>
      </c>
      <c r="G845" t="s">
        <v>6210</v>
      </c>
      <c r="H845">
        <v>22313</v>
      </c>
      <c r="I845" t="s">
        <v>1938</v>
      </c>
      <c r="J845" t="s">
        <v>1638</v>
      </c>
    </row>
    <row r="846" spans="1:10" x14ac:dyDescent="0.25">
      <c r="A846" t="s">
        <v>1640</v>
      </c>
      <c r="B846" t="s">
        <v>5560</v>
      </c>
      <c r="C846" t="s">
        <v>5561</v>
      </c>
      <c r="D846" t="s">
        <v>5562</v>
      </c>
      <c r="E846" t="s">
        <v>5563</v>
      </c>
      <c r="F846" t="s">
        <v>3311</v>
      </c>
      <c r="G846" t="s">
        <v>6210</v>
      </c>
      <c r="H846">
        <v>21290</v>
      </c>
      <c r="I846" t="s">
        <v>1938</v>
      </c>
      <c r="J846" t="s">
        <v>1640</v>
      </c>
    </row>
    <row r="847" spans="1:10" x14ac:dyDescent="0.25">
      <c r="A847" t="s">
        <v>1642</v>
      </c>
      <c r="B847" t="s">
        <v>5564</v>
      </c>
      <c r="C847" t="s">
        <v>5565</v>
      </c>
      <c r="E847" t="s">
        <v>5566</v>
      </c>
      <c r="F847" t="s">
        <v>2551</v>
      </c>
      <c r="G847" t="s">
        <v>6210</v>
      </c>
      <c r="H847">
        <v>47732</v>
      </c>
      <c r="I847" t="s">
        <v>1947</v>
      </c>
      <c r="J847" t="s">
        <v>1642</v>
      </c>
    </row>
    <row r="848" spans="1:10" x14ac:dyDescent="0.25">
      <c r="A848" t="s">
        <v>1644</v>
      </c>
      <c r="B848" t="s">
        <v>5567</v>
      </c>
      <c r="D848" t="s">
        <v>5568</v>
      </c>
      <c r="E848" t="s">
        <v>5569</v>
      </c>
      <c r="F848" t="s">
        <v>3677</v>
      </c>
      <c r="G848" t="s">
        <v>6210</v>
      </c>
      <c r="H848">
        <v>30045</v>
      </c>
      <c r="I848" t="s">
        <v>1938</v>
      </c>
      <c r="J848" t="s">
        <v>1644</v>
      </c>
    </row>
    <row r="849" spans="1:10" x14ac:dyDescent="0.25">
      <c r="A849" t="s">
        <v>1646</v>
      </c>
      <c r="B849" t="s">
        <v>5570</v>
      </c>
      <c r="C849" t="s">
        <v>5571</v>
      </c>
      <c r="E849" t="s">
        <v>5572</v>
      </c>
      <c r="F849" t="s">
        <v>5573</v>
      </c>
      <c r="G849" t="s">
        <v>6210</v>
      </c>
      <c r="H849">
        <v>36670</v>
      </c>
      <c r="I849" t="s">
        <v>1938</v>
      </c>
      <c r="J849" t="s">
        <v>1646</v>
      </c>
    </row>
    <row r="850" spans="1:10" x14ac:dyDescent="0.25">
      <c r="A850" t="s">
        <v>1648</v>
      </c>
      <c r="B850" t="s">
        <v>5574</v>
      </c>
      <c r="D850" t="s">
        <v>5575</v>
      </c>
      <c r="E850" t="s">
        <v>5576</v>
      </c>
      <c r="F850" t="s">
        <v>2316</v>
      </c>
      <c r="G850" t="s">
        <v>6210</v>
      </c>
      <c r="H850">
        <v>79705</v>
      </c>
      <c r="I850" t="s">
        <v>1947</v>
      </c>
      <c r="J850" t="s">
        <v>1648</v>
      </c>
    </row>
    <row r="851" spans="1:10" x14ac:dyDescent="0.25">
      <c r="A851" t="s">
        <v>1650</v>
      </c>
      <c r="B851" t="s">
        <v>5577</v>
      </c>
      <c r="C851" t="s">
        <v>5578</v>
      </c>
      <c r="D851" t="s">
        <v>5579</v>
      </c>
      <c r="E851" t="s">
        <v>5580</v>
      </c>
      <c r="F851" t="s">
        <v>5581</v>
      </c>
      <c r="G851" t="s">
        <v>6210</v>
      </c>
      <c r="H851">
        <v>33023</v>
      </c>
      <c r="I851" t="s">
        <v>1938</v>
      </c>
      <c r="J851" t="s">
        <v>1650</v>
      </c>
    </row>
    <row r="852" spans="1:10" x14ac:dyDescent="0.25">
      <c r="A852" t="s">
        <v>5582</v>
      </c>
      <c r="B852" t="s">
        <v>5583</v>
      </c>
      <c r="C852" t="s">
        <v>5584</v>
      </c>
      <c r="D852" t="s">
        <v>5585</v>
      </c>
      <c r="E852" t="s">
        <v>5586</v>
      </c>
      <c r="F852" t="s">
        <v>3505</v>
      </c>
      <c r="G852" t="s">
        <v>6210</v>
      </c>
      <c r="H852">
        <v>66611</v>
      </c>
      <c r="I852" t="s">
        <v>1938</v>
      </c>
      <c r="J852" t="s">
        <v>5582</v>
      </c>
    </row>
    <row r="853" spans="1:10" x14ac:dyDescent="0.25">
      <c r="A853" t="s">
        <v>1652</v>
      </c>
      <c r="B853" t="s">
        <v>5587</v>
      </c>
      <c r="C853" t="s">
        <v>5588</v>
      </c>
      <c r="D853" t="s">
        <v>5589</v>
      </c>
      <c r="E853" t="s">
        <v>5590</v>
      </c>
      <c r="F853" t="s">
        <v>3750</v>
      </c>
      <c r="G853" t="s">
        <v>6210</v>
      </c>
      <c r="H853">
        <v>95973</v>
      </c>
      <c r="I853" t="s">
        <v>1938</v>
      </c>
      <c r="J853" t="s">
        <v>1652</v>
      </c>
    </row>
    <row r="854" spans="1:10" x14ac:dyDescent="0.25">
      <c r="A854" t="s">
        <v>1654</v>
      </c>
      <c r="B854" t="s">
        <v>5591</v>
      </c>
      <c r="C854" t="s">
        <v>5592</v>
      </c>
      <c r="E854" t="s">
        <v>5593</v>
      </c>
      <c r="F854" t="s">
        <v>2383</v>
      </c>
      <c r="G854" t="s">
        <v>6210</v>
      </c>
      <c r="H854">
        <v>78737</v>
      </c>
      <c r="I854" t="s">
        <v>1938</v>
      </c>
      <c r="J854" t="s">
        <v>1654</v>
      </c>
    </row>
    <row r="855" spans="1:10" x14ac:dyDescent="0.25">
      <c r="A855" t="s">
        <v>1656</v>
      </c>
      <c r="B855" t="s">
        <v>5594</v>
      </c>
      <c r="C855" t="s">
        <v>5595</v>
      </c>
      <c r="E855" t="s">
        <v>5596</v>
      </c>
      <c r="F855" t="s">
        <v>2444</v>
      </c>
      <c r="G855" t="s">
        <v>6210</v>
      </c>
      <c r="H855">
        <v>88546</v>
      </c>
      <c r="I855" t="s">
        <v>1947</v>
      </c>
      <c r="J855" t="s">
        <v>1656</v>
      </c>
    </row>
    <row r="856" spans="1:10" x14ac:dyDescent="0.25">
      <c r="A856" t="s">
        <v>1658</v>
      </c>
      <c r="B856" t="s">
        <v>5597</v>
      </c>
      <c r="C856" t="s">
        <v>5598</v>
      </c>
      <c r="D856" t="s">
        <v>5599</v>
      </c>
      <c r="E856" t="s">
        <v>5600</v>
      </c>
      <c r="F856" t="s">
        <v>2118</v>
      </c>
      <c r="G856" t="s">
        <v>6210</v>
      </c>
      <c r="H856">
        <v>25326</v>
      </c>
      <c r="I856" t="s">
        <v>1938</v>
      </c>
      <c r="J856" t="s">
        <v>1658</v>
      </c>
    </row>
    <row r="857" spans="1:10" x14ac:dyDescent="0.25">
      <c r="A857" t="s">
        <v>1660</v>
      </c>
      <c r="B857" t="s">
        <v>5601</v>
      </c>
      <c r="C857" t="s">
        <v>5602</v>
      </c>
      <c r="D857" t="s">
        <v>5603</v>
      </c>
      <c r="E857" t="s">
        <v>5604</v>
      </c>
      <c r="F857" t="s">
        <v>4881</v>
      </c>
      <c r="G857" t="s">
        <v>6210</v>
      </c>
      <c r="H857">
        <v>18105</v>
      </c>
      <c r="I857" t="s">
        <v>1947</v>
      </c>
      <c r="J857" t="s">
        <v>1660</v>
      </c>
    </row>
    <row r="858" spans="1:10" x14ac:dyDescent="0.25">
      <c r="A858" t="s">
        <v>5605</v>
      </c>
      <c r="B858" t="s">
        <v>5606</v>
      </c>
      <c r="C858" t="s">
        <v>5607</v>
      </c>
      <c r="D858" t="s">
        <v>5608</v>
      </c>
      <c r="E858" t="s">
        <v>5609</v>
      </c>
      <c r="F858" t="s">
        <v>4480</v>
      </c>
      <c r="G858" t="s">
        <v>2112</v>
      </c>
      <c r="H858" t="s">
        <v>5610</v>
      </c>
      <c r="I858" t="s">
        <v>1938</v>
      </c>
      <c r="J858" t="s">
        <v>5605</v>
      </c>
    </row>
    <row r="859" spans="1:10" x14ac:dyDescent="0.25">
      <c r="A859" t="s">
        <v>1663</v>
      </c>
      <c r="B859" t="s">
        <v>5611</v>
      </c>
      <c r="C859" t="s">
        <v>5612</v>
      </c>
      <c r="D859" t="s">
        <v>5613</v>
      </c>
      <c r="E859" t="s">
        <v>5614</v>
      </c>
      <c r="F859" t="s">
        <v>5420</v>
      </c>
      <c r="G859" t="s">
        <v>6210</v>
      </c>
      <c r="H859">
        <v>34643</v>
      </c>
      <c r="I859" t="s">
        <v>1947</v>
      </c>
      <c r="J859" t="s">
        <v>1663</v>
      </c>
    </row>
    <row r="860" spans="1:10" x14ac:dyDescent="0.25">
      <c r="A860" t="s">
        <v>1665</v>
      </c>
      <c r="B860" t="s">
        <v>5615</v>
      </c>
      <c r="C860" t="s">
        <v>5616</v>
      </c>
      <c r="D860" t="s">
        <v>5617</v>
      </c>
      <c r="E860" t="s">
        <v>5618</v>
      </c>
      <c r="F860" t="s">
        <v>2546</v>
      </c>
      <c r="G860" t="s">
        <v>6210</v>
      </c>
      <c r="H860">
        <v>58122</v>
      </c>
      <c r="I860" t="s">
        <v>1947</v>
      </c>
      <c r="J860" t="s">
        <v>1665</v>
      </c>
    </row>
    <row r="861" spans="1:10" x14ac:dyDescent="0.25">
      <c r="A861" t="s">
        <v>1667</v>
      </c>
      <c r="B861" t="s">
        <v>5619</v>
      </c>
      <c r="C861" t="s">
        <v>5620</v>
      </c>
      <c r="D861" t="s">
        <v>5621</v>
      </c>
      <c r="E861" t="s">
        <v>5622</v>
      </c>
      <c r="F861" t="s">
        <v>5023</v>
      </c>
      <c r="G861" t="s">
        <v>6210</v>
      </c>
      <c r="H861">
        <v>72905</v>
      </c>
      <c r="I861" t="s">
        <v>1947</v>
      </c>
      <c r="J861" t="s">
        <v>1667</v>
      </c>
    </row>
    <row r="862" spans="1:10" x14ac:dyDescent="0.25">
      <c r="A862" t="s">
        <v>1669</v>
      </c>
      <c r="B862" t="s">
        <v>5623</v>
      </c>
      <c r="D862" t="s">
        <v>5624</v>
      </c>
      <c r="E862" t="s">
        <v>5625</v>
      </c>
      <c r="F862" t="s">
        <v>4232</v>
      </c>
      <c r="G862" t="s">
        <v>6210</v>
      </c>
      <c r="H862">
        <v>33811</v>
      </c>
      <c r="I862" t="s">
        <v>1947</v>
      </c>
      <c r="J862" t="s">
        <v>1669</v>
      </c>
    </row>
    <row r="863" spans="1:10" x14ac:dyDescent="0.25">
      <c r="A863" t="s">
        <v>1671</v>
      </c>
      <c r="B863" t="s">
        <v>5626</v>
      </c>
      <c r="C863" t="s">
        <v>5627</v>
      </c>
      <c r="D863" t="s">
        <v>5628</v>
      </c>
      <c r="E863" t="s">
        <v>5629</v>
      </c>
      <c r="F863" t="s">
        <v>3407</v>
      </c>
      <c r="G863" t="s">
        <v>6210</v>
      </c>
      <c r="H863">
        <v>37924</v>
      </c>
      <c r="I863" t="s">
        <v>1938</v>
      </c>
      <c r="J863" t="s">
        <v>1671</v>
      </c>
    </row>
    <row r="864" spans="1:10" x14ac:dyDescent="0.25">
      <c r="A864" t="s">
        <v>1673</v>
      </c>
      <c r="B864" t="s">
        <v>5630</v>
      </c>
      <c r="C864" t="s">
        <v>5631</v>
      </c>
      <c r="D864" t="s">
        <v>5632</v>
      </c>
      <c r="E864" t="s">
        <v>5633</v>
      </c>
      <c r="F864" t="s">
        <v>1982</v>
      </c>
      <c r="G864" t="s">
        <v>6210</v>
      </c>
      <c r="H864">
        <v>90030</v>
      </c>
      <c r="I864" t="s">
        <v>1938</v>
      </c>
      <c r="J864" t="s">
        <v>1673</v>
      </c>
    </row>
    <row r="865" spans="1:10" x14ac:dyDescent="0.25">
      <c r="A865" t="s">
        <v>1675</v>
      </c>
      <c r="B865" t="s">
        <v>5634</v>
      </c>
      <c r="C865" t="s">
        <v>5635</v>
      </c>
      <c r="D865" t="s">
        <v>5636</v>
      </c>
      <c r="E865" t="s">
        <v>5637</v>
      </c>
      <c r="F865" t="s">
        <v>3576</v>
      </c>
      <c r="G865" t="s">
        <v>6210</v>
      </c>
      <c r="H865">
        <v>33169</v>
      </c>
      <c r="I865" t="s">
        <v>1938</v>
      </c>
      <c r="J865" t="s">
        <v>1675</v>
      </c>
    </row>
    <row r="866" spans="1:10" x14ac:dyDescent="0.25">
      <c r="A866" t="s">
        <v>1677</v>
      </c>
      <c r="B866" t="s">
        <v>5638</v>
      </c>
      <c r="C866" t="s">
        <v>5639</v>
      </c>
      <c r="D866" t="s">
        <v>5640</v>
      </c>
      <c r="E866" t="s">
        <v>5641</v>
      </c>
      <c r="F866" t="s">
        <v>5157</v>
      </c>
      <c r="G866" t="s">
        <v>1945</v>
      </c>
      <c r="H866" t="s">
        <v>5158</v>
      </c>
      <c r="I866" t="s">
        <v>1947</v>
      </c>
      <c r="J866" t="s">
        <v>1677</v>
      </c>
    </row>
    <row r="867" spans="1:10" x14ac:dyDescent="0.25">
      <c r="A867" t="s">
        <v>5642</v>
      </c>
      <c r="B867" t="s">
        <v>5643</v>
      </c>
      <c r="D867" t="s">
        <v>5644</v>
      </c>
      <c r="E867" t="s">
        <v>5645</v>
      </c>
      <c r="F867" t="s">
        <v>2248</v>
      </c>
      <c r="G867" t="s">
        <v>6210</v>
      </c>
      <c r="H867">
        <v>60604</v>
      </c>
      <c r="I867" t="s">
        <v>1938</v>
      </c>
      <c r="J867" t="s">
        <v>5642</v>
      </c>
    </row>
    <row r="868" spans="1:10" x14ac:dyDescent="0.25">
      <c r="A868" t="s">
        <v>1681</v>
      </c>
      <c r="B868" t="s">
        <v>5646</v>
      </c>
      <c r="C868" t="s">
        <v>5647</v>
      </c>
      <c r="D868" t="s">
        <v>5648</v>
      </c>
      <c r="E868" t="s">
        <v>5649</v>
      </c>
      <c r="F868" t="s">
        <v>5650</v>
      </c>
      <c r="G868" t="s">
        <v>1945</v>
      </c>
      <c r="H868" t="s">
        <v>2393</v>
      </c>
      <c r="I868" t="s">
        <v>1947</v>
      </c>
      <c r="J868" t="s">
        <v>1681</v>
      </c>
    </row>
    <row r="869" spans="1:10" x14ac:dyDescent="0.25">
      <c r="A869" t="s">
        <v>1683</v>
      </c>
      <c r="B869" t="s">
        <v>5651</v>
      </c>
      <c r="C869" t="s">
        <v>5652</v>
      </c>
      <c r="E869" t="s">
        <v>5653</v>
      </c>
      <c r="F869" t="s">
        <v>5654</v>
      </c>
      <c r="G869" t="s">
        <v>1945</v>
      </c>
      <c r="H869" t="s">
        <v>5655</v>
      </c>
      <c r="I869" t="s">
        <v>1938</v>
      </c>
      <c r="J869" t="s">
        <v>1683</v>
      </c>
    </row>
    <row r="870" spans="1:10" x14ac:dyDescent="0.25">
      <c r="A870" t="s">
        <v>1685</v>
      </c>
      <c r="B870" t="s">
        <v>5656</v>
      </c>
      <c r="C870" t="s">
        <v>5657</v>
      </c>
      <c r="D870" t="s">
        <v>5658</v>
      </c>
      <c r="E870" t="s">
        <v>5659</v>
      </c>
      <c r="F870" t="s">
        <v>2856</v>
      </c>
      <c r="G870" t="s">
        <v>6210</v>
      </c>
      <c r="H870">
        <v>33064</v>
      </c>
      <c r="I870" t="s">
        <v>1938</v>
      </c>
      <c r="J870" t="s">
        <v>1685</v>
      </c>
    </row>
    <row r="871" spans="1:10" x14ac:dyDescent="0.25">
      <c r="A871" t="s">
        <v>1687</v>
      </c>
      <c r="B871" t="s">
        <v>5660</v>
      </c>
      <c r="D871" t="s">
        <v>5661</v>
      </c>
      <c r="E871" t="s">
        <v>5662</v>
      </c>
      <c r="F871" t="s">
        <v>2994</v>
      </c>
      <c r="G871" t="s">
        <v>6210</v>
      </c>
      <c r="H871">
        <v>94297</v>
      </c>
      <c r="I871" t="s">
        <v>1938</v>
      </c>
      <c r="J871" t="s">
        <v>1687</v>
      </c>
    </row>
    <row r="872" spans="1:10" x14ac:dyDescent="0.25">
      <c r="A872" t="s">
        <v>1689</v>
      </c>
      <c r="B872" t="s">
        <v>5663</v>
      </c>
      <c r="C872" t="s">
        <v>5664</v>
      </c>
      <c r="D872" t="s">
        <v>5665</v>
      </c>
      <c r="E872" t="s">
        <v>5666</v>
      </c>
      <c r="F872" t="s">
        <v>2078</v>
      </c>
      <c r="G872" t="s">
        <v>1945</v>
      </c>
      <c r="H872" t="s">
        <v>2079</v>
      </c>
      <c r="I872" t="s">
        <v>1938</v>
      </c>
      <c r="J872" t="s">
        <v>1689</v>
      </c>
    </row>
    <row r="873" spans="1:10" x14ac:dyDescent="0.25">
      <c r="A873" t="s">
        <v>1691</v>
      </c>
      <c r="B873" t="s">
        <v>5667</v>
      </c>
      <c r="C873" t="s">
        <v>5668</v>
      </c>
      <c r="D873" t="s">
        <v>5669</v>
      </c>
      <c r="E873" t="s">
        <v>5670</v>
      </c>
      <c r="F873" t="s">
        <v>5671</v>
      </c>
      <c r="G873" t="s">
        <v>2112</v>
      </c>
      <c r="H873" t="s">
        <v>5672</v>
      </c>
      <c r="I873" t="s">
        <v>1938</v>
      </c>
      <c r="J873" t="s">
        <v>1691</v>
      </c>
    </row>
    <row r="874" spans="1:10" x14ac:dyDescent="0.25">
      <c r="A874" t="s">
        <v>1693</v>
      </c>
      <c r="B874" t="s">
        <v>5673</v>
      </c>
      <c r="C874" t="s">
        <v>5674</v>
      </c>
      <c r="D874" t="s">
        <v>5675</v>
      </c>
      <c r="E874" t="s">
        <v>5676</v>
      </c>
      <c r="F874" t="s">
        <v>3682</v>
      </c>
      <c r="G874" t="s">
        <v>6210</v>
      </c>
      <c r="H874">
        <v>28805</v>
      </c>
      <c r="I874" t="s">
        <v>1947</v>
      </c>
      <c r="J874" t="s">
        <v>1693</v>
      </c>
    </row>
    <row r="875" spans="1:10" x14ac:dyDescent="0.25">
      <c r="A875" t="s">
        <v>1679</v>
      </c>
      <c r="B875" t="s">
        <v>5677</v>
      </c>
      <c r="C875" t="s">
        <v>5678</v>
      </c>
      <c r="D875" t="s">
        <v>5679</v>
      </c>
      <c r="E875" t="s">
        <v>5680</v>
      </c>
      <c r="F875" t="s">
        <v>2118</v>
      </c>
      <c r="G875" t="s">
        <v>6210</v>
      </c>
      <c r="H875">
        <v>25362</v>
      </c>
      <c r="I875" t="s">
        <v>1938</v>
      </c>
      <c r="J875" t="s">
        <v>1679</v>
      </c>
    </row>
    <row r="876" spans="1:10" x14ac:dyDescent="0.25">
      <c r="A876" t="s">
        <v>1696</v>
      </c>
      <c r="B876" t="s">
        <v>5681</v>
      </c>
      <c r="C876" t="s">
        <v>5682</v>
      </c>
      <c r="D876" t="s">
        <v>5683</v>
      </c>
      <c r="E876" t="s">
        <v>5684</v>
      </c>
      <c r="F876" t="s">
        <v>2023</v>
      </c>
      <c r="G876" t="s">
        <v>6210</v>
      </c>
      <c r="H876">
        <v>77281</v>
      </c>
      <c r="I876" t="s">
        <v>1947</v>
      </c>
      <c r="J876" t="s">
        <v>1696</v>
      </c>
    </row>
    <row r="877" spans="1:10" x14ac:dyDescent="0.25">
      <c r="A877" t="s">
        <v>1698</v>
      </c>
      <c r="B877" t="s">
        <v>5685</v>
      </c>
      <c r="C877" t="s">
        <v>5686</v>
      </c>
      <c r="D877" t="s">
        <v>5687</v>
      </c>
      <c r="E877" t="s">
        <v>5688</v>
      </c>
      <c r="F877" t="s">
        <v>2407</v>
      </c>
      <c r="G877" t="s">
        <v>1945</v>
      </c>
      <c r="H877" t="s">
        <v>2408</v>
      </c>
      <c r="I877" t="s">
        <v>1947</v>
      </c>
      <c r="J877" t="s">
        <v>1698</v>
      </c>
    </row>
    <row r="878" spans="1:10" x14ac:dyDescent="0.25">
      <c r="A878" t="s">
        <v>5689</v>
      </c>
      <c r="B878" t="s">
        <v>5690</v>
      </c>
      <c r="C878" t="s">
        <v>5691</v>
      </c>
      <c r="D878" t="s">
        <v>5692</v>
      </c>
      <c r="E878" t="s">
        <v>5693</v>
      </c>
      <c r="F878" t="s">
        <v>2182</v>
      </c>
      <c r="G878" t="s">
        <v>6210</v>
      </c>
      <c r="H878">
        <v>20575</v>
      </c>
      <c r="I878" t="s">
        <v>1938</v>
      </c>
      <c r="J878" t="s">
        <v>5689</v>
      </c>
    </row>
    <row r="879" spans="1:10" x14ac:dyDescent="0.25">
      <c r="A879" t="s">
        <v>1700</v>
      </c>
      <c r="B879" t="s">
        <v>5694</v>
      </c>
      <c r="C879" t="s">
        <v>5695</v>
      </c>
      <c r="D879" t="s">
        <v>5696</v>
      </c>
      <c r="E879" t="s">
        <v>5697</v>
      </c>
      <c r="F879" t="s">
        <v>2252</v>
      </c>
      <c r="G879" t="s">
        <v>6210</v>
      </c>
      <c r="H879">
        <v>7195</v>
      </c>
      <c r="I879" t="s">
        <v>1947</v>
      </c>
      <c r="J879" t="s">
        <v>1700</v>
      </c>
    </row>
    <row r="880" spans="1:10" x14ac:dyDescent="0.25">
      <c r="A880" t="s">
        <v>1702</v>
      </c>
      <c r="B880" t="s">
        <v>5698</v>
      </c>
      <c r="D880" t="s">
        <v>5699</v>
      </c>
      <c r="E880" t="s">
        <v>5700</v>
      </c>
      <c r="F880" t="s">
        <v>3487</v>
      </c>
      <c r="G880" t="s">
        <v>6210</v>
      </c>
      <c r="H880">
        <v>98195</v>
      </c>
      <c r="I880" t="s">
        <v>1938</v>
      </c>
      <c r="J880" t="s">
        <v>1702</v>
      </c>
    </row>
    <row r="881" spans="1:10" x14ac:dyDescent="0.25">
      <c r="A881" t="s">
        <v>1704</v>
      </c>
      <c r="B881" t="s">
        <v>5701</v>
      </c>
      <c r="D881" t="s">
        <v>5702</v>
      </c>
      <c r="E881" t="s">
        <v>5703</v>
      </c>
      <c r="F881" t="s">
        <v>2059</v>
      </c>
      <c r="G881" t="s">
        <v>6210</v>
      </c>
      <c r="H881">
        <v>80150</v>
      </c>
      <c r="I881" t="s">
        <v>1947</v>
      </c>
      <c r="J881" t="s">
        <v>1704</v>
      </c>
    </row>
    <row r="882" spans="1:10" x14ac:dyDescent="0.25">
      <c r="A882" t="s">
        <v>1706</v>
      </c>
      <c r="B882" t="s">
        <v>5704</v>
      </c>
      <c r="C882" t="s">
        <v>5705</v>
      </c>
      <c r="D882" t="s">
        <v>5706</v>
      </c>
      <c r="E882" t="s">
        <v>5707</v>
      </c>
      <c r="F882" t="s">
        <v>5708</v>
      </c>
      <c r="G882" t="s">
        <v>6210</v>
      </c>
      <c r="H882">
        <v>61105</v>
      </c>
      <c r="I882" t="s">
        <v>1947</v>
      </c>
      <c r="J882" t="s">
        <v>1706</v>
      </c>
    </row>
    <row r="883" spans="1:10" x14ac:dyDescent="0.25">
      <c r="A883" t="s">
        <v>1708</v>
      </c>
      <c r="B883" t="s">
        <v>5709</v>
      </c>
      <c r="D883" t="s">
        <v>5710</v>
      </c>
      <c r="E883" t="s">
        <v>5711</v>
      </c>
      <c r="F883" t="s">
        <v>5210</v>
      </c>
      <c r="G883" t="s">
        <v>6210</v>
      </c>
      <c r="H883">
        <v>59112</v>
      </c>
      <c r="I883" t="s">
        <v>1938</v>
      </c>
      <c r="J883" t="s">
        <v>1708</v>
      </c>
    </row>
    <row r="884" spans="1:10" x14ac:dyDescent="0.25">
      <c r="A884" t="s">
        <v>5712</v>
      </c>
      <c r="B884" t="s">
        <v>5713</v>
      </c>
      <c r="C884" t="s">
        <v>5714</v>
      </c>
      <c r="D884" t="s">
        <v>5715</v>
      </c>
      <c r="E884" t="s">
        <v>5716</v>
      </c>
      <c r="F884" t="s">
        <v>3044</v>
      </c>
      <c r="G884" t="s">
        <v>6210</v>
      </c>
      <c r="H884">
        <v>31165</v>
      </c>
      <c r="I884" t="s">
        <v>1947</v>
      </c>
      <c r="J884" t="s">
        <v>5712</v>
      </c>
    </row>
    <row r="885" spans="1:10" x14ac:dyDescent="0.25">
      <c r="A885" t="s">
        <v>1712</v>
      </c>
      <c r="B885" t="s">
        <v>5717</v>
      </c>
      <c r="C885" t="s">
        <v>5718</v>
      </c>
      <c r="D885" t="s">
        <v>5719</v>
      </c>
      <c r="E885" t="s">
        <v>5720</v>
      </c>
      <c r="F885" t="s">
        <v>2811</v>
      </c>
      <c r="G885" t="s">
        <v>6210</v>
      </c>
      <c r="H885">
        <v>74108</v>
      </c>
      <c r="I885" t="s">
        <v>1938</v>
      </c>
      <c r="J885" t="s">
        <v>1712</v>
      </c>
    </row>
    <row r="886" spans="1:10" x14ac:dyDescent="0.25">
      <c r="A886" t="s">
        <v>1714</v>
      </c>
      <c r="B886" t="s">
        <v>5721</v>
      </c>
      <c r="C886" t="s">
        <v>5722</v>
      </c>
      <c r="D886" t="s">
        <v>5723</v>
      </c>
      <c r="E886" t="s">
        <v>5724</v>
      </c>
      <c r="F886" t="s">
        <v>2351</v>
      </c>
      <c r="G886" t="s">
        <v>6210</v>
      </c>
      <c r="H886">
        <v>93704</v>
      </c>
      <c r="I886" t="s">
        <v>1938</v>
      </c>
      <c r="J886" t="s">
        <v>1714</v>
      </c>
    </row>
    <row r="887" spans="1:10" x14ac:dyDescent="0.25">
      <c r="A887" t="s">
        <v>1716</v>
      </c>
      <c r="B887" t="s">
        <v>5725</v>
      </c>
      <c r="C887" t="s">
        <v>5726</v>
      </c>
      <c r="D887" t="s">
        <v>5727</v>
      </c>
      <c r="E887" t="s">
        <v>5728</v>
      </c>
      <c r="F887" t="s">
        <v>5729</v>
      </c>
      <c r="G887" t="s">
        <v>1945</v>
      </c>
      <c r="H887" t="s">
        <v>2306</v>
      </c>
      <c r="I887" t="s">
        <v>1947</v>
      </c>
      <c r="J887" t="s">
        <v>1716</v>
      </c>
    </row>
    <row r="888" spans="1:10" x14ac:dyDescent="0.25">
      <c r="A888" t="s">
        <v>1718</v>
      </c>
      <c r="B888" t="s">
        <v>5730</v>
      </c>
      <c r="C888" t="s">
        <v>5731</v>
      </c>
      <c r="D888" t="s">
        <v>5732</v>
      </c>
      <c r="E888" t="s">
        <v>5733</v>
      </c>
      <c r="F888" t="s">
        <v>3085</v>
      </c>
      <c r="G888" t="s">
        <v>6210</v>
      </c>
      <c r="H888">
        <v>94154</v>
      </c>
      <c r="I888" t="s">
        <v>1947</v>
      </c>
      <c r="J888" t="s">
        <v>1718</v>
      </c>
    </row>
    <row r="889" spans="1:10" x14ac:dyDescent="0.25">
      <c r="A889" t="s">
        <v>1720</v>
      </c>
      <c r="B889" t="s">
        <v>5734</v>
      </c>
      <c r="C889" t="s">
        <v>5735</v>
      </c>
      <c r="D889" t="s">
        <v>5736</v>
      </c>
      <c r="E889" t="s">
        <v>5737</v>
      </c>
      <c r="F889" t="s">
        <v>5573</v>
      </c>
      <c r="G889" t="s">
        <v>6210</v>
      </c>
      <c r="H889">
        <v>36689</v>
      </c>
      <c r="I889" t="s">
        <v>1947</v>
      </c>
      <c r="J889" t="s">
        <v>1720</v>
      </c>
    </row>
    <row r="890" spans="1:10" x14ac:dyDescent="0.25">
      <c r="A890" t="s">
        <v>1722</v>
      </c>
      <c r="B890" t="s">
        <v>5738</v>
      </c>
      <c r="C890" t="s">
        <v>5739</v>
      </c>
      <c r="D890" t="s">
        <v>5740</v>
      </c>
      <c r="E890" t="s">
        <v>5741</v>
      </c>
      <c r="F890" t="s">
        <v>3085</v>
      </c>
      <c r="G890" t="s">
        <v>6210</v>
      </c>
      <c r="H890">
        <v>94110</v>
      </c>
      <c r="I890" t="s">
        <v>1938</v>
      </c>
      <c r="J890" t="s">
        <v>1722</v>
      </c>
    </row>
    <row r="891" spans="1:10" x14ac:dyDescent="0.25">
      <c r="A891" t="s">
        <v>1724</v>
      </c>
      <c r="B891" t="s">
        <v>5742</v>
      </c>
      <c r="C891" t="s">
        <v>5743</v>
      </c>
      <c r="D891" t="s">
        <v>5744</v>
      </c>
      <c r="E891" t="s">
        <v>5745</v>
      </c>
      <c r="F891" t="s">
        <v>2095</v>
      </c>
      <c r="G891" t="s">
        <v>6210</v>
      </c>
      <c r="H891">
        <v>11470</v>
      </c>
      <c r="I891" t="s">
        <v>1938</v>
      </c>
      <c r="J891" t="s">
        <v>1724</v>
      </c>
    </row>
    <row r="892" spans="1:10" x14ac:dyDescent="0.25">
      <c r="A892" t="s">
        <v>1710</v>
      </c>
      <c r="B892" t="s">
        <v>5746</v>
      </c>
      <c r="C892" t="s">
        <v>5747</v>
      </c>
      <c r="D892" t="s">
        <v>5748</v>
      </c>
      <c r="E892" t="s">
        <v>5749</v>
      </c>
      <c r="F892" t="s">
        <v>2128</v>
      </c>
      <c r="G892" t="s">
        <v>6210</v>
      </c>
      <c r="H892">
        <v>80243</v>
      </c>
      <c r="I892" t="s">
        <v>1938</v>
      </c>
      <c r="J892" t="s">
        <v>1710</v>
      </c>
    </row>
    <row r="893" spans="1:10" x14ac:dyDescent="0.25">
      <c r="A893" t="s">
        <v>1727</v>
      </c>
      <c r="B893" t="s">
        <v>5750</v>
      </c>
      <c r="C893" t="s">
        <v>5751</v>
      </c>
      <c r="D893" t="s">
        <v>5752</v>
      </c>
      <c r="E893" t="s">
        <v>5753</v>
      </c>
      <c r="F893" t="s">
        <v>3780</v>
      </c>
      <c r="G893" t="s">
        <v>6210</v>
      </c>
      <c r="H893">
        <v>92165</v>
      </c>
      <c r="I893" t="s">
        <v>1938</v>
      </c>
      <c r="J893" t="s">
        <v>1727</v>
      </c>
    </row>
    <row r="894" spans="1:10" x14ac:dyDescent="0.25">
      <c r="A894" t="s">
        <v>1729</v>
      </c>
      <c r="B894" t="s">
        <v>5754</v>
      </c>
      <c r="C894" t="s">
        <v>5755</v>
      </c>
      <c r="D894" t="s">
        <v>5756</v>
      </c>
      <c r="E894" t="s">
        <v>5757</v>
      </c>
      <c r="F894" t="s">
        <v>3722</v>
      </c>
      <c r="G894" t="s">
        <v>2112</v>
      </c>
      <c r="H894" t="s">
        <v>3723</v>
      </c>
      <c r="I894" t="s">
        <v>1947</v>
      </c>
      <c r="J894" t="s">
        <v>1729</v>
      </c>
    </row>
    <row r="895" spans="1:10" x14ac:dyDescent="0.25">
      <c r="A895" t="s">
        <v>1731</v>
      </c>
      <c r="B895" t="s">
        <v>5758</v>
      </c>
      <c r="C895" t="s">
        <v>5759</v>
      </c>
      <c r="E895" t="s">
        <v>5760</v>
      </c>
      <c r="F895" t="s">
        <v>4590</v>
      </c>
      <c r="G895" t="s">
        <v>6210</v>
      </c>
      <c r="H895">
        <v>15250</v>
      </c>
      <c r="I895" t="s">
        <v>1938</v>
      </c>
      <c r="J895" t="s">
        <v>1731</v>
      </c>
    </row>
    <row r="896" spans="1:10" x14ac:dyDescent="0.25">
      <c r="A896" t="s">
        <v>1733</v>
      </c>
      <c r="B896" t="s">
        <v>5761</v>
      </c>
      <c r="D896" t="s">
        <v>5762</v>
      </c>
      <c r="E896" t="s">
        <v>5763</v>
      </c>
      <c r="F896" t="s">
        <v>5764</v>
      </c>
      <c r="G896" t="s">
        <v>1945</v>
      </c>
      <c r="H896" t="s">
        <v>2670</v>
      </c>
      <c r="I896" t="s">
        <v>1938</v>
      </c>
      <c r="J896" t="s">
        <v>1733</v>
      </c>
    </row>
    <row r="897" spans="1:10" x14ac:dyDescent="0.25">
      <c r="A897" t="s">
        <v>1735</v>
      </c>
      <c r="B897" t="s">
        <v>5765</v>
      </c>
      <c r="D897" t="s">
        <v>5766</v>
      </c>
      <c r="E897" t="s">
        <v>5767</v>
      </c>
      <c r="F897" t="s">
        <v>2033</v>
      </c>
      <c r="G897" t="s">
        <v>6210</v>
      </c>
      <c r="H897">
        <v>10004</v>
      </c>
      <c r="I897" t="s">
        <v>1947</v>
      </c>
      <c r="J897" t="s">
        <v>1735</v>
      </c>
    </row>
    <row r="898" spans="1:10" x14ac:dyDescent="0.25">
      <c r="A898" t="s">
        <v>1737</v>
      </c>
      <c r="B898" t="s">
        <v>5768</v>
      </c>
      <c r="C898" t="s">
        <v>5769</v>
      </c>
      <c r="D898" t="s">
        <v>5770</v>
      </c>
      <c r="E898" t="s">
        <v>5771</v>
      </c>
      <c r="F898" t="s">
        <v>3487</v>
      </c>
      <c r="G898" t="s">
        <v>6210</v>
      </c>
      <c r="H898">
        <v>98148</v>
      </c>
      <c r="I898" t="s">
        <v>1938</v>
      </c>
      <c r="J898" t="s">
        <v>1737</v>
      </c>
    </row>
    <row r="899" spans="1:10" x14ac:dyDescent="0.25">
      <c r="A899" t="s">
        <v>1739</v>
      </c>
      <c r="B899" t="s">
        <v>5772</v>
      </c>
      <c r="C899" t="s">
        <v>5773</v>
      </c>
      <c r="D899" t="s">
        <v>5774</v>
      </c>
      <c r="E899" t="s">
        <v>5775</v>
      </c>
      <c r="F899" t="s">
        <v>2168</v>
      </c>
      <c r="G899" t="s">
        <v>2112</v>
      </c>
      <c r="H899" t="s">
        <v>2482</v>
      </c>
      <c r="I899" t="s">
        <v>1947</v>
      </c>
      <c r="J899" t="s">
        <v>1739</v>
      </c>
    </row>
    <row r="900" spans="1:10" x14ac:dyDescent="0.25">
      <c r="A900" t="s">
        <v>1741</v>
      </c>
      <c r="B900" t="s">
        <v>5776</v>
      </c>
      <c r="D900" t="s">
        <v>5777</v>
      </c>
      <c r="E900" t="s">
        <v>5778</v>
      </c>
      <c r="F900" t="s">
        <v>5779</v>
      </c>
      <c r="G900" t="s">
        <v>6210</v>
      </c>
      <c r="H900">
        <v>49018</v>
      </c>
      <c r="I900" t="s">
        <v>1947</v>
      </c>
      <c r="J900" t="s">
        <v>1741</v>
      </c>
    </row>
    <row r="901" spans="1:10" x14ac:dyDescent="0.25">
      <c r="A901" t="s">
        <v>5780</v>
      </c>
      <c r="B901" t="s">
        <v>5781</v>
      </c>
      <c r="C901" t="s">
        <v>5782</v>
      </c>
      <c r="E901" t="s">
        <v>5783</v>
      </c>
      <c r="F901" t="s">
        <v>2420</v>
      </c>
      <c r="G901" t="s">
        <v>1945</v>
      </c>
      <c r="H901" t="s">
        <v>2421</v>
      </c>
      <c r="I901" t="s">
        <v>1938</v>
      </c>
      <c r="J901" t="s">
        <v>5780</v>
      </c>
    </row>
    <row r="902" spans="1:10" x14ac:dyDescent="0.25">
      <c r="A902" t="s">
        <v>1744</v>
      </c>
      <c r="B902" t="s">
        <v>5784</v>
      </c>
      <c r="D902" t="s">
        <v>5785</v>
      </c>
      <c r="E902" t="s">
        <v>5786</v>
      </c>
      <c r="F902" t="s">
        <v>5787</v>
      </c>
      <c r="G902" t="s">
        <v>1945</v>
      </c>
      <c r="H902" t="s">
        <v>2532</v>
      </c>
      <c r="I902" t="s">
        <v>1947</v>
      </c>
      <c r="J902" t="s">
        <v>1744</v>
      </c>
    </row>
    <row r="903" spans="1:10" x14ac:dyDescent="0.25">
      <c r="A903" t="s">
        <v>1746</v>
      </c>
      <c r="B903" t="s">
        <v>5788</v>
      </c>
      <c r="C903" t="s">
        <v>5789</v>
      </c>
      <c r="D903" t="s">
        <v>5790</v>
      </c>
      <c r="E903" t="s">
        <v>5791</v>
      </c>
      <c r="F903" t="s">
        <v>2023</v>
      </c>
      <c r="G903" t="s">
        <v>6210</v>
      </c>
      <c r="H903">
        <v>77070</v>
      </c>
      <c r="I903" t="s">
        <v>1938</v>
      </c>
      <c r="J903" t="s">
        <v>1746</v>
      </c>
    </row>
    <row r="904" spans="1:10" x14ac:dyDescent="0.25">
      <c r="A904" t="s">
        <v>1748</v>
      </c>
      <c r="B904" t="s">
        <v>5792</v>
      </c>
      <c r="C904" t="s">
        <v>5793</v>
      </c>
      <c r="D904" t="s">
        <v>5794</v>
      </c>
      <c r="E904" t="s">
        <v>5795</v>
      </c>
      <c r="F904" t="s">
        <v>3032</v>
      </c>
      <c r="G904" t="s">
        <v>6210</v>
      </c>
      <c r="H904">
        <v>45249</v>
      </c>
      <c r="I904" t="s">
        <v>1947</v>
      </c>
      <c r="J904" t="s">
        <v>1748</v>
      </c>
    </row>
    <row r="905" spans="1:10" x14ac:dyDescent="0.25">
      <c r="A905" t="s">
        <v>1750</v>
      </c>
      <c r="B905" t="s">
        <v>5796</v>
      </c>
      <c r="C905" t="s">
        <v>5797</v>
      </c>
      <c r="D905" t="s">
        <v>5798</v>
      </c>
      <c r="E905" t="s">
        <v>5799</v>
      </c>
      <c r="F905" t="s">
        <v>2351</v>
      </c>
      <c r="G905" t="s">
        <v>6210</v>
      </c>
      <c r="H905">
        <v>93704</v>
      </c>
      <c r="I905" t="s">
        <v>1947</v>
      </c>
      <c r="J905" t="s">
        <v>1750</v>
      </c>
    </row>
    <row r="906" spans="1:10" x14ac:dyDescent="0.25">
      <c r="A906" t="s">
        <v>1752</v>
      </c>
      <c r="B906" t="s">
        <v>5800</v>
      </c>
      <c r="C906" t="s">
        <v>5801</v>
      </c>
      <c r="D906" t="s">
        <v>5802</v>
      </c>
      <c r="E906" t="s">
        <v>5803</v>
      </c>
      <c r="F906" t="s">
        <v>2229</v>
      </c>
      <c r="G906" t="s">
        <v>6210</v>
      </c>
      <c r="H906">
        <v>55123</v>
      </c>
      <c r="I906" t="s">
        <v>1947</v>
      </c>
      <c r="J906" t="s">
        <v>1752</v>
      </c>
    </row>
    <row r="907" spans="1:10" x14ac:dyDescent="0.25">
      <c r="A907" t="s">
        <v>1754</v>
      </c>
      <c r="B907" t="s">
        <v>5804</v>
      </c>
      <c r="D907" t="s">
        <v>5805</v>
      </c>
      <c r="E907" t="s">
        <v>5806</v>
      </c>
      <c r="F907" t="s">
        <v>2444</v>
      </c>
      <c r="G907" t="s">
        <v>6210</v>
      </c>
      <c r="H907">
        <v>88519</v>
      </c>
      <c r="I907" t="s">
        <v>1938</v>
      </c>
      <c r="J907" t="s">
        <v>1754</v>
      </c>
    </row>
    <row r="908" spans="1:10" x14ac:dyDescent="0.25">
      <c r="A908" t="s">
        <v>1756</v>
      </c>
      <c r="B908" t="s">
        <v>5807</v>
      </c>
      <c r="C908" t="s">
        <v>5808</v>
      </c>
      <c r="D908" t="s">
        <v>5809</v>
      </c>
      <c r="E908" t="s">
        <v>5810</v>
      </c>
      <c r="F908" t="s">
        <v>2643</v>
      </c>
      <c r="G908" t="s">
        <v>6210</v>
      </c>
      <c r="H908">
        <v>50981</v>
      </c>
      <c r="I908" t="s">
        <v>1938</v>
      </c>
      <c r="J908" t="s">
        <v>1756</v>
      </c>
    </row>
    <row r="909" spans="1:10" x14ac:dyDescent="0.25">
      <c r="A909" t="s">
        <v>1758</v>
      </c>
      <c r="B909" t="s">
        <v>5811</v>
      </c>
      <c r="C909" t="s">
        <v>5812</v>
      </c>
      <c r="D909" t="s">
        <v>5813</v>
      </c>
      <c r="E909" t="s">
        <v>5814</v>
      </c>
      <c r="F909" t="s">
        <v>2018</v>
      </c>
      <c r="G909" t="s">
        <v>6210</v>
      </c>
      <c r="H909">
        <v>97240</v>
      </c>
      <c r="I909" t="s">
        <v>1947</v>
      </c>
      <c r="J909" t="s">
        <v>1758</v>
      </c>
    </row>
    <row r="910" spans="1:10" x14ac:dyDescent="0.25">
      <c r="A910" t="s">
        <v>1760</v>
      </c>
      <c r="B910" t="s">
        <v>5815</v>
      </c>
      <c r="C910" t="s">
        <v>5816</v>
      </c>
      <c r="D910" t="s">
        <v>5817</v>
      </c>
      <c r="E910" t="s">
        <v>5818</v>
      </c>
      <c r="F910" t="s">
        <v>2023</v>
      </c>
      <c r="G910" t="s">
        <v>6210</v>
      </c>
      <c r="H910">
        <v>77070</v>
      </c>
      <c r="I910" t="s">
        <v>1947</v>
      </c>
      <c r="J910" t="s">
        <v>1760</v>
      </c>
    </row>
    <row r="911" spans="1:10" x14ac:dyDescent="0.25">
      <c r="A911" t="s">
        <v>1762</v>
      </c>
      <c r="B911" t="s">
        <v>5819</v>
      </c>
      <c r="D911" t="s">
        <v>5820</v>
      </c>
      <c r="E911" t="s">
        <v>5821</v>
      </c>
      <c r="F911" t="s">
        <v>4476</v>
      </c>
      <c r="G911" t="s">
        <v>6210</v>
      </c>
      <c r="H911">
        <v>27705</v>
      </c>
      <c r="I911" t="s">
        <v>1947</v>
      </c>
      <c r="J911" t="s">
        <v>1762</v>
      </c>
    </row>
    <row r="912" spans="1:10" x14ac:dyDescent="0.25">
      <c r="A912" t="s">
        <v>1764</v>
      </c>
      <c r="B912" t="s">
        <v>5822</v>
      </c>
      <c r="C912" t="s">
        <v>5823</v>
      </c>
      <c r="D912" t="s">
        <v>5824</v>
      </c>
      <c r="E912" t="s">
        <v>5825</v>
      </c>
      <c r="F912" t="s">
        <v>2154</v>
      </c>
      <c r="G912" t="s">
        <v>6210</v>
      </c>
      <c r="H912">
        <v>2298</v>
      </c>
      <c r="I912" t="s">
        <v>1947</v>
      </c>
      <c r="J912" t="s">
        <v>1764</v>
      </c>
    </row>
    <row r="913" spans="1:10" x14ac:dyDescent="0.25">
      <c r="A913" t="s">
        <v>1766</v>
      </c>
      <c r="B913" t="s">
        <v>5826</v>
      </c>
      <c r="C913" t="s">
        <v>5827</v>
      </c>
      <c r="D913" t="s">
        <v>5828</v>
      </c>
      <c r="E913" t="s">
        <v>5829</v>
      </c>
      <c r="F913" t="s">
        <v>2182</v>
      </c>
      <c r="G913" t="s">
        <v>6210</v>
      </c>
      <c r="H913">
        <v>20226</v>
      </c>
      <c r="I913" t="s">
        <v>1938</v>
      </c>
      <c r="J913" t="s">
        <v>1766</v>
      </c>
    </row>
    <row r="914" spans="1:10" x14ac:dyDescent="0.25">
      <c r="A914" t="s">
        <v>1768</v>
      </c>
      <c r="B914" t="s">
        <v>5830</v>
      </c>
      <c r="D914" t="s">
        <v>5831</v>
      </c>
      <c r="E914" t="s">
        <v>5832</v>
      </c>
      <c r="F914" t="s">
        <v>2876</v>
      </c>
      <c r="G914" t="s">
        <v>6210</v>
      </c>
      <c r="H914">
        <v>12205</v>
      </c>
      <c r="I914" t="s">
        <v>1938</v>
      </c>
      <c r="J914" t="s">
        <v>1768</v>
      </c>
    </row>
    <row r="915" spans="1:10" x14ac:dyDescent="0.25">
      <c r="A915" t="s">
        <v>1770</v>
      </c>
      <c r="B915" t="s">
        <v>5833</v>
      </c>
      <c r="C915" t="s">
        <v>5834</v>
      </c>
      <c r="D915" t="s">
        <v>5835</v>
      </c>
      <c r="E915" t="s">
        <v>5836</v>
      </c>
      <c r="F915" t="s">
        <v>2136</v>
      </c>
      <c r="G915" t="s">
        <v>6210</v>
      </c>
      <c r="H915">
        <v>85732</v>
      </c>
      <c r="I915" t="s">
        <v>1947</v>
      </c>
      <c r="J915" t="s">
        <v>1770</v>
      </c>
    </row>
    <row r="916" spans="1:10" x14ac:dyDescent="0.25">
      <c r="A916" t="s">
        <v>1772</v>
      </c>
      <c r="B916" t="s">
        <v>5837</v>
      </c>
      <c r="C916" t="s">
        <v>5838</v>
      </c>
      <c r="D916" t="s">
        <v>5839</v>
      </c>
      <c r="E916" t="s">
        <v>5840</v>
      </c>
      <c r="F916" t="s">
        <v>2739</v>
      </c>
      <c r="G916" t="s">
        <v>6210</v>
      </c>
      <c r="H916">
        <v>36195</v>
      </c>
      <c r="I916" t="s">
        <v>1947</v>
      </c>
      <c r="J916" t="s">
        <v>1772</v>
      </c>
    </row>
    <row r="917" spans="1:10" x14ac:dyDescent="0.25">
      <c r="A917" t="s">
        <v>1774</v>
      </c>
      <c r="B917" t="s">
        <v>5841</v>
      </c>
      <c r="C917" t="s">
        <v>5842</v>
      </c>
      <c r="D917" t="s">
        <v>5843</v>
      </c>
      <c r="E917" t="s">
        <v>5844</v>
      </c>
      <c r="F917" t="s">
        <v>5845</v>
      </c>
      <c r="G917" t="s">
        <v>6210</v>
      </c>
      <c r="H917">
        <v>99709</v>
      </c>
      <c r="I917" t="s">
        <v>1938</v>
      </c>
      <c r="J917" t="s">
        <v>1774</v>
      </c>
    </row>
    <row r="918" spans="1:10" x14ac:dyDescent="0.25">
      <c r="A918" t="s">
        <v>1776</v>
      </c>
      <c r="B918" t="s">
        <v>5846</v>
      </c>
      <c r="E918" t="s">
        <v>5847</v>
      </c>
      <c r="F918" t="s">
        <v>3913</v>
      </c>
      <c r="G918" t="s">
        <v>1945</v>
      </c>
      <c r="H918" t="s">
        <v>3914</v>
      </c>
      <c r="I918" t="s">
        <v>1938</v>
      </c>
      <c r="J918" t="s">
        <v>1776</v>
      </c>
    </row>
    <row r="919" spans="1:10" x14ac:dyDescent="0.25">
      <c r="A919" t="s">
        <v>1778</v>
      </c>
      <c r="B919" t="s">
        <v>5848</v>
      </c>
      <c r="C919" t="s">
        <v>5849</v>
      </c>
      <c r="D919" t="s">
        <v>5850</v>
      </c>
      <c r="E919" t="s">
        <v>5851</v>
      </c>
      <c r="F919" t="s">
        <v>3233</v>
      </c>
      <c r="G919" t="s">
        <v>2112</v>
      </c>
      <c r="H919" t="s">
        <v>5852</v>
      </c>
      <c r="I919" t="s">
        <v>1947</v>
      </c>
      <c r="J919" t="s">
        <v>1778</v>
      </c>
    </row>
    <row r="920" spans="1:10" x14ac:dyDescent="0.25">
      <c r="A920" t="s">
        <v>5853</v>
      </c>
      <c r="B920" t="s">
        <v>5854</v>
      </c>
      <c r="C920" t="s">
        <v>5855</v>
      </c>
      <c r="D920" t="s">
        <v>5856</v>
      </c>
      <c r="E920" t="s">
        <v>5857</v>
      </c>
      <c r="F920" t="s">
        <v>2709</v>
      </c>
      <c r="G920" t="s">
        <v>6210</v>
      </c>
      <c r="H920">
        <v>34615</v>
      </c>
      <c r="I920" t="s">
        <v>1947</v>
      </c>
      <c r="J920" t="s">
        <v>5853</v>
      </c>
    </row>
    <row r="921" spans="1:10" x14ac:dyDescent="0.25">
      <c r="A921" t="s">
        <v>1780</v>
      </c>
      <c r="B921" t="s">
        <v>5858</v>
      </c>
      <c r="C921" t="s">
        <v>5859</v>
      </c>
      <c r="D921" t="s">
        <v>5860</v>
      </c>
      <c r="E921" t="s">
        <v>5861</v>
      </c>
      <c r="F921" t="s">
        <v>3315</v>
      </c>
      <c r="G921" t="s">
        <v>6210</v>
      </c>
      <c r="H921">
        <v>40515</v>
      </c>
      <c r="I921" t="s">
        <v>1938</v>
      </c>
      <c r="J921" t="s">
        <v>1780</v>
      </c>
    </row>
    <row r="922" spans="1:10" x14ac:dyDescent="0.25">
      <c r="A922" t="s">
        <v>1782</v>
      </c>
      <c r="B922" t="s">
        <v>5862</v>
      </c>
      <c r="C922" t="s">
        <v>5863</v>
      </c>
      <c r="D922" t="s">
        <v>5864</v>
      </c>
      <c r="E922" t="s">
        <v>5865</v>
      </c>
      <c r="F922" t="s">
        <v>2044</v>
      </c>
      <c r="G922" t="s">
        <v>6210</v>
      </c>
      <c r="H922">
        <v>49560</v>
      </c>
      <c r="I922" t="s">
        <v>1947</v>
      </c>
      <c r="J922" t="s">
        <v>1782</v>
      </c>
    </row>
    <row r="923" spans="1:10" x14ac:dyDescent="0.25">
      <c r="A923" t="s">
        <v>1784</v>
      </c>
      <c r="B923" t="s">
        <v>5866</v>
      </c>
      <c r="C923" t="s">
        <v>5867</v>
      </c>
      <c r="D923" t="s">
        <v>5868</v>
      </c>
      <c r="E923" t="s">
        <v>5869</v>
      </c>
      <c r="F923" t="s">
        <v>2643</v>
      </c>
      <c r="G923" t="s">
        <v>6210</v>
      </c>
      <c r="H923">
        <v>50369</v>
      </c>
      <c r="I923" t="s">
        <v>1947</v>
      </c>
      <c r="J923" t="s">
        <v>1784</v>
      </c>
    </row>
    <row r="924" spans="1:10" x14ac:dyDescent="0.25">
      <c r="A924" t="s">
        <v>1786</v>
      </c>
      <c r="B924" t="s">
        <v>5870</v>
      </c>
      <c r="E924" t="s">
        <v>5871</v>
      </c>
      <c r="F924" t="s">
        <v>5102</v>
      </c>
      <c r="G924" t="s">
        <v>6210</v>
      </c>
      <c r="H924">
        <v>19810</v>
      </c>
      <c r="I924" t="s">
        <v>1938</v>
      </c>
      <c r="J924" t="s">
        <v>1786</v>
      </c>
    </row>
    <row r="925" spans="1:10" x14ac:dyDescent="0.25">
      <c r="A925" t="s">
        <v>1788</v>
      </c>
      <c r="B925" t="s">
        <v>5872</v>
      </c>
      <c r="C925" t="s">
        <v>5873</v>
      </c>
      <c r="D925" t="s">
        <v>5874</v>
      </c>
      <c r="E925" t="s">
        <v>5875</v>
      </c>
      <c r="F925" t="s">
        <v>2383</v>
      </c>
      <c r="G925" t="s">
        <v>6210</v>
      </c>
      <c r="H925">
        <v>78726</v>
      </c>
      <c r="I925" t="s">
        <v>1947</v>
      </c>
      <c r="J925" t="s">
        <v>1788</v>
      </c>
    </row>
    <row r="926" spans="1:10" x14ac:dyDescent="0.25">
      <c r="A926" t="s">
        <v>1790</v>
      </c>
      <c r="B926" t="s">
        <v>5876</v>
      </c>
      <c r="C926" t="s">
        <v>5877</v>
      </c>
      <c r="E926" t="s">
        <v>5878</v>
      </c>
      <c r="F926" t="s">
        <v>4396</v>
      </c>
      <c r="G926" t="s">
        <v>6210</v>
      </c>
      <c r="H926">
        <v>32835</v>
      </c>
      <c r="I926" t="s">
        <v>1947</v>
      </c>
      <c r="J926" t="s">
        <v>1790</v>
      </c>
    </row>
    <row r="927" spans="1:10" x14ac:dyDescent="0.25">
      <c r="A927" t="s">
        <v>5879</v>
      </c>
      <c r="B927" t="s">
        <v>5880</v>
      </c>
      <c r="D927" t="s">
        <v>5881</v>
      </c>
      <c r="E927" t="s">
        <v>5882</v>
      </c>
      <c r="F927" t="s">
        <v>2942</v>
      </c>
      <c r="G927" t="s">
        <v>6210</v>
      </c>
      <c r="H927">
        <v>91199</v>
      </c>
      <c r="I927" t="s">
        <v>1938</v>
      </c>
      <c r="J927" t="s">
        <v>5879</v>
      </c>
    </row>
    <row r="928" spans="1:10" x14ac:dyDescent="0.25">
      <c r="A928" t="s">
        <v>1793</v>
      </c>
      <c r="B928" t="s">
        <v>5883</v>
      </c>
      <c r="C928" t="s">
        <v>5884</v>
      </c>
      <c r="D928" t="s">
        <v>5885</v>
      </c>
      <c r="E928" t="s">
        <v>5886</v>
      </c>
      <c r="F928" t="s">
        <v>2182</v>
      </c>
      <c r="G928" t="s">
        <v>6210</v>
      </c>
      <c r="H928">
        <v>20238</v>
      </c>
      <c r="I928" t="s">
        <v>1938</v>
      </c>
      <c r="J928" t="s">
        <v>1793</v>
      </c>
    </row>
    <row r="929" spans="1:10" x14ac:dyDescent="0.25">
      <c r="A929" t="s">
        <v>1795</v>
      </c>
      <c r="B929" t="s">
        <v>5887</v>
      </c>
      <c r="C929" t="s">
        <v>5888</v>
      </c>
      <c r="D929" t="s">
        <v>5889</v>
      </c>
      <c r="E929" t="s">
        <v>5890</v>
      </c>
      <c r="F929" t="s">
        <v>2018</v>
      </c>
      <c r="G929" t="s">
        <v>6210</v>
      </c>
      <c r="H929">
        <v>97271</v>
      </c>
      <c r="I929" t="s">
        <v>1947</v>
      </c>
      <c r="J929" t="s">
        <v>1795</v>
      </c>
    </row>
    <row r="930" spans="1:10" x14ac:dyDescent="0.25">
      <c r="A930" t="s">
        <v>1797</v>
      </c>
      <c r="B930" t="s">
        <v>5891</v>
      </c>
      <c r="C930" t="s">
        <v>5892</v>
      </c>
      <c r="E930" t="s">
        <v>5893</v>
      </c>
      <c r="F930" t="s">
        <v>2033</v>
      </c>
      <c r="G930" t="s">
        <v>6210</v>
      </c>
      <c r="H930">
        <v>10004</v>
      </c>
      <c r="I930" t="s">
        <v>1938</v>
      </c>
      <c r="J930" t="s">
        <v>1797</v>
      </c>
    </row>
    <row r="931" spans="1:10" x14ac:dyDescent="0.25">
      <c r="A931" t="s">
        <v>1799</v>
      </c>
      <c r="B931" t="s">
        <v>5894</v>
      </c>
      <c r="C931" t="s">
        <v>5895</v>
      </c>
      <c r="D931" t="s">
        <v>5896</v>
      </c>
      <c r="E931" t="s">
        <v>5897</v>
      </c>
      <c r="F931" t="s">
        <v>2182</v>
      </c>
      <c r="G931" t="s">
        <v>6210</v>
      </c>
      <c r="H931">
        <v>20404</v>
      </c>
      <c r="I931" t="s">
        <v>1938</v>
      </c>
      <c r="J931" t="s">
        <v>1799</v>
      </c>
    </row>
    <row r="932" spans="1:10" x14ac:dyDescent="0.25">
      <c r="A932" t="s">
        <v>1801</v>
      </c>
      <c r="B932" t="s">
        <v>5898</v>
      </c>
      <c r="C932" t="s">
        <v>5899</v>
      </c>
      <c r="E932" t="s">
        <v>5900</v>
      </c>
      <c r="F932" t="s">
        <v>2182</v>
      </c>
      <c r="G932" t="s">
        <v>6210</v>
      </c>
      <c r="H932">
        <v>20067</v>
      </c>
      <c r="I932" t="s">
        <v>1938</v>
      </c>
      <c r="J932" t="s">
        <v>1801</v>
      </c>
    </row>
    <row r="933" spans="1:10" x14ac:dyDescent="0.25">
      <c r="A933" t="s">
        <v>1803</v>
      </c>
      <c r="B933" t="s">
        <v>5901</v>
      </c>
      <c r="E933" t="s">
        <v>5902</v>
      </c>
      <c r="F933" t="s">
        <v>4881</v>
      </c>
      <c r="G933" t="s">
        <v>6210</v>
      </c>
      <c r="H933">
        <v>18105</v>
      </c>
      <c r="I933" t="s">
        <v>1938</v>
      </c>
      <c r="J933" t="s">
        <v>1803</v>
      </c>
    </row>
    <row r="934" spans="1:10" x14ac:dyDescent="0.25">
      <c r="A934" t="s">
        <v>1805</v>
      </c>
      <c r="B934" t="s">
        <v>5903</v>
      </c>
      <c r="C934" t="s">
        <v>5904</v>
      </c>
      <c r="D934" t="s">
        <v>5905</v>
      </c>
      <c r="E934" t="s">
        <v>5906</v>
      </c>
      <c r="F934" t="s">
        <v>3576</v>
      </c>
      <c r="G934" t="s">
        <v>6210</v>
      </c>
      <c r="H934">
        <v>33169</v>
      </c>
      <c r="I934" t="s">
        <v>1947</v>
      </c>
      <c r="J934" t="s">
        <v>1805</v>
      </c>
    </row>
    <row r="935" spans="1:10" x14ac:dyDescent="0.25">
      <c r="A935" t="s">
        <v>1807</v>
      </c>
      <c r="B935" t="s">
        <v>5907</v>
      </c>
      <c r="D935" t="s">
        <v>5908</v>
      </c>
      <c r="E935" t="s">
        <v>5909</v>
      </c>
      <c r="F935" t="s">
        <v>2358</v>
      </c>
      <c r="G935" t="s">
        <v>6210</v>
      </c>
      <c r="H935">
        <v>73129</v>
      </c>
      <c r="I935" t="s">
        <v>1938</v>
      </c>
      <c r="J935" t="s">
        <v>1807</v>
      </c>
    </row>
    <row r="936" spans="1:10" x14ac:dyDescent="0.25">
      <c r="A936" t="s">
        <v>1809</v>
      </c>
      <c r="B936" t="s">
        <v>5910</v>
      </c>
      <c r="C936" t="s">
        <v>5911</v>
      </c>
      <c r="D936" t="s">
        <v>5912</v>
      </c>
      <c r="E936" t="s">
        <v>5913</v>
      </c>
      <c r="F936" t="s">
        <v>5708</v>
      </c>
      <c r="G936" t="s">
        <v>6210</v>
      </c>
      <c r="H936">
        <v>61105</v>
      </c>
      <c r="I936" t="s">
        <v>1947</v>
      </c>
      <c r="J936" t="s">
        <v>1809</v>
      </c>
    </row>
    <row r="937" spans="1:10" x14ac:dyDescent="0.25">
      <c r="A937" t="s">
        <v>1811</v>
      </c>
      <c r="B937" t="s">
        <v>5914</v>
      </c>
      <c r="C937" t="s">
        <v>5915</v>
      </c>
      <c r="D937" t="s">
        <v>5916</v>
      </c>
      <c r="E937" t="s">
        <v>5917</v>
      </c>
      <c r="F937" t="s">
        <v>2739</v>
      </c>
      <c r="G937" t="s">
        <v>6210</v>
      </c>
      <c r="H937">
        <v>36177</v>
      </c>
      <c r="I937" t="s">
        <v>1938</v>
      </c>
      <c r="J937" t="s">
        <v>1811</v>
      </c>
    </row>
    <row r="938" spans="1:10" x14ac:dyDescent="0.25">
      <c r="A938" t="s">
        <v>1813</v>
      </c>
      <c r="B938" t="s">
        <v>5918</v>
      </c>
      <c r="C938" t="s">
        <v>5919</v>
      </c>
      <c r="D938" t="s">
        <v>5920</v>
      </c>
      <c r="E938" t="s">
        <v>5921</v>
      </c>
      <c r="F938" t="s">
        <v>2942</v>
      </c>
      <c r="G938" t="s">
        <v>6210</v>
      </c>
      <c r="H938">
        <v>91117</v>
      </c>
      <c r="I938" t="s">
        <v>1938</v>
      </c>
      <c r="J938" t="s">
        <v>1813</v>
      </c>
    </row>
    <row r="939" spans="1:10" x14ac:dyDescent="0.25">
      <c r="A939" t="s">
        <v>5922</v>
      </c>
      <c r="B939" t="s">
        <v>5923</v>
      </c>
      <c r="C939" t="s">
        <v>5924</v>
      </c>
      <c r="D939" t="s">
        <v>5925</v>
      </c>
      <c r="E939" t="s">
        <v>5926</v>
      </c>
      <c r="F939" t="s">
        <v>2248</v>
      </c>
      <c r="G939" t="s">
        <v>6210</v>
      </c>
      <c r="H939">
        <v>60624</v>
      </c>
      <c r="I939" t="s">
        <v>1947</v>
      </c>
      <c r="J939" t="s">
        <v>5922</v>
      </c>
    </row>
    <row r="940" spans="1:10" x14ac:dyDescent="0.25">
      <c r="A940" t="s">
        <v>1815</v>
      </c>
      <c r="B940" t="s">
        <v>5927</v>
      </c>
      <c r="C940" t="s">
        <v>5928</v>
      </c>
      <c r="D940" t="s">
        <v>5929</v>
      </c>
      <c r="E940" t="s">
        <v>5930</v>
      </c>
      <c r="F940" t="s">
        <v>2023</v>
      </c>
      <c r="G940" t="s">
        <v>6210</v>
      </c>
      <c r="H940">
        <v>77293</v>
      </c>
      <c r="I940" t="s">
        <v>1938</v>
      </c>
      <c r="J940" t="s">
        <v>1815</v>
      </c>
    </row>
    <row r="941" spans="1:10" x14ac:dyDescent="0.25">
      <c r="A941" t="s">
        <v>1817</v>
      </c>
      <c r="B941" t="s">
        <v>5931</v>
      </c>
      <c r="C941" t="s">
        <v>5932</v>
      </c>
      <c r="D941" t="s">
        <v>5933</v>
      </c>
      <c r="E941" t="s">
        <v>5934</v>
      </c>
      <c r="F941" t="s">
        <v>5935</v>
      </c>
      <c r="G941" t="s">
        <v>6210</v>
      </c>
      <c r="H941">
        <v>49444</v>
      </c>
      <c r="I941" t="s">
        <v>1947</v>
      </c>
      <c r="J941" t="s">
        <v>1817</v>
      </c>
    </row>
    <row r="942" spans="1:10" x14ac:dyDescent="0.25">
      <c r="A942" t="s">
        <v>1819</v>
      </c>
      <c r="B942" t="s">
        <v>5936</v>
      </c>
      <c r="C942" t="s">
        <v>5937</v>
      </c>
      <c r="D942" t="s">
        <v>5938</v>
      </c>
      <c r="E942" t="s">
        <v>5939</v>
      </c>
      <c r="F942" t="s">
        <v>2182</v>
      </c>
      <c r="G942" t="s">
        <v>6210</v>
      </c>
      <c r="H942">
        <v>20380</v>
      </c>
      <c r="I942" t="s">
        <v>1938</v>
      </c>
      <c r="J942" t="s">
        <v>1819</v>
      </c>
    </row>
    <row r="943" spans="1:10" x14ac:dyDescent="0.25">
      <c r="A943" t="s">
        <v>1821</v>
      </c>
      <c r="B943" t="s">
        <v>5940</v>
      </c>
      <c r="C943" t="s">
        <v>5941</v>
      </c>
      <c r="D943" t="s">
        <v>5942</v>
      </c>
      <c r="E943" t="s">
        <v>5943</v>
      </c>
      <c r="F943" t="s">
        <v>5944</v>
      </c>
      <c r="G943" t="s">
        <v>1945</v>
      </c>
      <c r="H943" t="s">
        <v>5945</v>
      </c>
      <c r="I943" t="s">
        <v>1938</v>
      </c>
      <c r="J943" t="s">
        <v>1821</v>
      </c>
    </row>
    <row r="944" spans="1:10" x14ac:dyDescent="0.25">
      <c r="A944" t="s">
        <v>1823</v>
      </c>
      <c r="B944" t="s">
        <v>5946</v>
      </c>
      <c r="C944" t="s">
        <v>5947</v>
      </c>
      <c r="D944" t="s">
        <v>5948</v>
      </c>
      <c r="E944" t="s">
        <v>5949</v>
      </c>
      <c r="F944" t="s">
        <v>2748</v>
      </c>
      <c r="G944" t="s">
        <v>6210</v>
      </c>
      <c r="H944">
        <v>31205</v>
      </c>
      <c r="I944" t="s">
        <v>1947</v>
      </c>
      <c r="J944" t="s">
        <v>1823</v>
      </c>
    </row>
    <row r="945" spans="1:10" x14ac:dyDescent="0.25">
      <c r="A945" t="s">
        <v>1825</v>
      </c>
      <c r="B945" t="s">
        <v>5950</v>
      </c>
      <c r="C945" t="s">
        <v>5951</v>
      </c>
      <c r="D945" t="s">
        <v>5952</v>
      </c>
      <c r="E945" t="s">
        <v>5953</v>
      </c>
      <c r="F945" t="s">
        <v>3519</v>
      </c>
      <c r="G945" t="s">
        <v>6210</v>
      </c>
      <c r="H945">
        <v>71105</v>
      </c>
      <c r="I945" t="s">
        <v>1947</v>
      </c>
      <c r="J945" t="s">
        <v>1825</v>
      </c>
    </row>
    <row r="946" spans="1:10" x14ac:dyDescent="0.25">
      <c r="A946" t="s">
        <v>1827</v>
      </c>
      <c r="B946" t="s">
        <v>5954</v>
      </c>
      <c r="C946" t="s">
        <v>5955</v>
      </c>
      <c r="D946" t="s">
        <v>5956</v>
      </c>
      <c r="E946" t="s">
        <v>5957</v>
      </c>
      <c r="F946" t="s">
        <v>3143</v>
      </c>
      <c r="G946" t="s">
        <v>6210</v>
      </c>
      <c r="H946">
        <v>98405</v>
      </c>
      <c r="I946" t="s">
        <v>1947</v>
      </c>
      <c r="J946" t="s">
        <v>1827</v>
      </c>
    </row>
    <row r="947" spans="1:10" x14ac:dyDescent="0.25">
      <c r="A947" t="s">
        <v>1829</v>
      </c>
      <c r="B947" t="s">
        <v>5958</v>
      </c>
      <c r="D947" t="s">
        <v>5959</v>
      </c>
      <c r="E947" t="s">
        <v>5960</v>
      </c>
      <c r="F947" t="s">
        <v>2444</v>
      </c>
      <c r="G947" t="s">
        <v>6210</v>
      </c>
      <c r="H947">
        <v>79934</v>
      </c>
      <c r="I947" t="s">
        <v>1947</v>
      </c>
      <c r="J947" t="s">
        <v>1829</v>
      </c>
    </row>
    <row r="948" spans="1:10" x14ac:dyDescent="0.25">
      <c r="A948" t="s">
        <v>1831</v>
      </c>
      <c r="B948" t="s">
        <v>5961</v>
      </c>
      <c r="D948" t="s">
        <v>5962</v>
      </c>
      <c r="E948" t="s">
        <v>5963</v>
      </c>
      <c r="F948" t="s">
        <v>2168</v>
      </c>
      <c r="G948" t="s">
        <v>6210</v>
      </c>
      <c r="H948">
        <v>35263</v>
      </c>
      <c r="I948" t="s">
        <v>1947</v>
      </c>
      <c r="J948" t="s">
        <v>1831</v>
      </c>
    </row>
    <row r="949" spans="1:10" x14ac:dyDescent="0.25">
      <c r="A949" t="s">
        <v>1833</v>
      </c>
      <c r="B949" t="s">
        <v>5964</v>
      </c>
      <c r="C949" t="s">
        <v>5965</v>
      </c>
      <c r="E949" t="s">
        <v>5966</v>
      </c>
      <c r="F949" t="s">
        <v>2603</v>
      </c>
      <c r="G949" t="s">
        <v>1945</v>
      </c>
      <c r="H949" t="s">
        <v>2306</v>
      </c>
      <c r="I949" t="s">
        <v>1947</v>
      </c>
      <c r="J949" t="s">
        <v>1833</v>
      </c>
    </row>
    <row r="950" spans="1:10" x14ac:dyDescent="0.25">
      <c r="A950" t="s">
        <v>1835</v>
      </c>
      <c r="B950" t="s">
        <v>5967</v>
      </c>
      <c r="C950" t="s">
        <v>5968</v>
      </c>
      <c r="D950" t="s">
        <v>5969</v>
      </c>
      <c r="E950" t="s">
        <v>5970</v>
      </c>
      <c r="F950" t="s">
        <v>4480</v>
      </c>
      <c r="G950" t="s">
        <v>2112</v>
      </c>
      <c r="H950" t="s">
        <v>5971</v>
      </c>
      <c r="I950" t="s">
        <v>1938</v>
      </c>
      <c r="J950" t="s">
        <v>1835</v>
      </c>
    </row>
    <row r="951" spans="1:10" x14ac:dyDescent="0.25">
      <c r="A951" t="s">
        <v>1837</v>
      </c>
      <c r="B951" t="s">
        <v>5972</v>
      </c>
      <c r="C951" t="s">
        <v>5973</v>
      </c>
      <c r="D951" t="s">
        <v>5974</v>
      </c>
      <c r="E951" t="s">
        <v>5975</v>
      </c>
      <c r="F951" t="s">
        <v>5976</v>
      </c>
      <c r="G951" t="s">
        <v>1945</v>
      </c>
      <c r="H951" t="s">
        <v>5977</v>
      </c>
      <c r="I951" t="s">
        <v>1947</v>
      </c>
      <c r="J951" t="s">
        <v>1837</v>
      </c>
    </row>
    <row r="952" spans="1:10" x14ac:dyDescent="0.25">
      <c r="A952" t="s">
        <v>1839</v>
      </c>
      <c r="B952" t="s">
        <v>5978</v>
      </c>
      <c r="D952" t="s">
        <v>5979</v>
      </c>
      <c r="E952" t="s">
        <v>5980</v>
      </c>
      <c r="F952" t="s">
        <v>5102</v>
      </c>
      <c r="G952" t="s">
        <v>6210</v>
      </c>
      <c r="H952">
        <v>19810</v>
      </c>
      <c r="I952" t="s">
        <v>1938</v>
      </c>
      <c r="J952" t="s">
        <v>1839</v>
      </c>
    </row>
    <row r="953" spans="1:10" x14ac:dyDescent="0.25">
      <c r="A953" t="s">
        <v>1841</v>
      </c>
      <c r="B953" t="s">
        <v>5981</v>
      </c>
      <c r="C953" t="s">
        <v>5982</v>
      </c>
      <c r="D953" t="s">
        <v>5983</v>
      </c>
      <c r="E953" t="s">
        <v>5984</v>
      </c>
      <c r="F953" t="s">
        <v>3657</v>
      </c>
      <c r="G953" t="s">
        <v>6210</v>
      </c>
      <c r="H953">
        <v>17121</v>
      </c>
      <c r="I953" t="s">
        <v>1947</v>
      </c>
      <c r="J953" t="s">
        <v>1841</v>
      </c>
    </row>
    <row r="954" spans="1:10" x14ac:dyDescent="0.25">
      <c r="A954" t="s">
        <v>1843</v>
      </c>
      <c r="B954" t="s">
        <v>5985</v>
      </c>
      <c r="C954" t="s">
        <v>5986</v>
      </c>
      <c r="D954" t="s">
        <v>5987</v>
      </c>
      <c r="E954" t="s">
        <v>5988</v>
      </c>
      <c r="F954" t="s">
        <v>5944</v>
      </c>
      <c r="G954" t="s">
        <v>1945</v>
      </c>
      <c r="H954" t="s">
        <v>5945</v>
      </c>
      <c r="I954" t="s">
        <v>1938</v>
      </c>
      <c r="J954" t="s">
        <v>1843</v>
      </c>
    </row>
    <row r="955" spans="1:10" x14ac:dyDescent="0.25">
      <c r="A955" t="s">
        <v>5989</v>
      </c>
      <c r="B955" t="s">
        <v>5990</v>
      </c>
      <c r="C955" t="s">
        <v>5991</v>
      </c>
      <c r="D955" t="s">
        <v>5992</v>
      </c>
      <c r="E955" t="s">
        <v>5993</v>
      </c>
      <c r="F955" t="s">
        <v>2444</v>
      </c>
      <c r="G955" t="s">
        <v>6210</v>
      </c>
      <c r="H955">
        <v>79940</v>
      </c>
      <c r="I955" t="s">
        <v>1938</v>
      </c>
      <c r="J955" t="s">
        <v>5989</v>
      </c>
    </row>
    <row r="956" spans="1:10" x14ac:dyDescent="0.25">
      <c r="A956" t="s">
        <v>5994</v>
      </c>
      <c r="B956" t="s">
        <v>5995</v>
      </c>
      <c r="C956" t="s">
        <v>5996</v>
      </c>
      <c r="D956" t="s">
        <v>5997</v>
      </c>
      <c r="E956" t="s">
        <v>5998</v>
      </c>
      <c r="F956" t="s">
        <v>2009</v>
      </c>
      <c r="G956" t="s">
        <v>6210</v>
      </c>
      <c r="H956">
        <v>63136</v>
      </c>
      <c r="I956" t="s">
        <v>1938</v>
      </c>
      <c r="J956" t="s">
        <v>5994</v>
      </c>
    </row>
    <row r="957" spans="1:10" x14ac:dyDescent="0.25">
      <c r="A957" t="s">
        <v>5999</v>
      </c>
      <c r="B957" t="s">
        <v>6000</v>
      </c>
      <c r="C957" t="s">
        <v>6001</v>
      </c>
      <c r="D957" t="s">
        <v>6002</v>
      </c>
      <c r="E957" t="s">
        <v>6003</v>
      </c>
      <c r="F957" t="s">
        <v>5023</v>
      </c>
      <c r="G957" t="s">
        <v>6210</v>
      </c>
      <c r="H957">
        <v>72905</v>
      </c>
      <c r="I957" t="s">
        <v>1938</v>
      </c>
      <c r="J957" t="s">
        <v>5999</v>
      </c>
    </row>
    <row r="958" spans="1:10" x14ac:dyDescent="0.25">
      <c r="A958" t="s">
        <v>6004</v>
      </c>
      <c r="B958" t="s">
        <v>6005</v>
      </c>
      <c r="C958" t="s">
        <v>6006</v>
      </c>
      <c r="D958" t="s">
        <v>6007</v>
      </c>
      <c r="E958" t="s">
        <v>6008</v>
      </c>
      <c r="F958" t="s">
        <v>2502</v>
      </c>
      <c r="G958" t="s">
        <v>6210</v>
      </c>
      <c r="H958">
        <v>37245</v>
      </c>
      <c r="I958" t="s">
        <v>1947</v>
      </c>
      <c r="J958" t="s">
        <v>6004</v>
      </c>
    </row>
    <row r="959" spans="1:10" x14ac:dyDescent="0.25">
      <c r="A959" t="s">
        <v>6009</v>
      </c>
      <c r="B959" t="s">
        <v>6010</v>
      </c>
      <c r="C959" t="s">
        <v>6011</v>
      </c>
      <c r="D959" t="s">
        <v>6012</v>
      </c>
      <c r="E959" t="s">
        <v>6013</v>
      </c>
      <c r="F959" t="s">
        <v>2182</v>
      </c>
      <c r="G959" t="s">
        <v>6210</v>
      </c>
      <c r="H959">
        <v>20088</v>
      </c>
      <c r="I959" t="s">
        <v>1938</v>
      </c>
      <c r="J959" t="s">
        <v>6009</v>
      </c>
    </row>
    <row r="960" spans="1:10" x14ac:dyDescent="0.25">
      <c r="A960" t="s">
        <v>6014</v>
      </c>
      <c r="B960" t="s">
        <v>6015</v>
      </c>
      <c r="C960" t="s">
        <v>6016</v>
      </c>
      <c r="E960" t="s">
        <v>6017</v>
      </c>
      <c r="F960" t="s">
        <v>6018</v>
      </c>
      <c r="G960" t="s">
        <v>6210</v>
      </c>
      <c r="H960">
        <v>90305</v>
      </c>
      <c r="I960" t="s">
        <v>1938</v>
      </c>
      <c r="J960" t="s">
        <v>6014</v>
      </c>
    </row>
    <row r="961" spans="1:10" x14ac:dyDescent="0.25">
      <c r="A961" t="s">
        <v>1848</v>
      </c>
      <c r="B961" t="s">
        <v>6019</v>
      </c>
      <c r="C961" t="s">
        <v>6020</v>
      </c>
      <c r="E961" t="s">
        <v>6021</v>
      </c>
      <c r="F961" t="s">
        <v>2123</v>
      </c>
      <c r="G961" t="s">
        <v>6210</v>
      </c>
      <c r="H961">
        <v>72215</v>
      </c>
      <c r="I961" t="s">
        <v>1938</v>
      </c>
      <c r="J961" t="s">
        <v>1848</v>
      </c>
    </row>
    <row r="962" spans="1:10" x14ac:dyDescent="0.25">
      <c r="A962" t="s">
        <v>1850</v>
      </c>
      <c r="B962" t="s">
        <v>6022</v>
      </c>
      <c r="C962" t="s">
        <v>6023</v>
      </c>
      <c r="D962" t="s">
        <v>6024</v>
      </c>
      <c r="E962" t="s">
        <v>6025</v>
      </c>
      <c r="F962" t="s">
        <v>3698</v>
      </c>
      <c r="G962" t="s">
        <v>6210</v>
      </c>
      <c r="H962">
        <v>21747</v>
      </c>
      <c r="I962" t="s">
        <v>1938</v>
      </c>
      <c r="J962" t="s">
        <v>1850</v>
      </c>
    </row>
    <row r="963" spans="1:10" x14ac:dyDescent="0.25">
      <c r="A963" t="s">
        <v>1852</v>
      </c>
      <c r="B963" t="s">
        <v>6026</v>
      </c>
      <c r="D963" t="s">
        <v>6027</v>
      </c>
      <c r="E963" t="s">
        <v>6028</v>
      </c>
      <c r="F963" t="s">
        <v>2876</v>
      </c>
      <c r="G963" t="s">
        <v>6210</v>
      </c>
      <c r="H963">
        <v>12205</v>
      </c>
      <c r="I963" t="s">
        <v>1938</v>
      </c>
      <c r="J963" t="s">
        <v>1852</v>
      </c>
    </row>
    <row r="964" spans="1:10" x14ac:dyDescent="0.25">
      <c r="A964" t="s">
        <v>1854</v>
      </c>
      <c r="B964" t="s">
        <v>6029</v>
      </c>
      <c r="C964" t="s">
        <v>6030</v>
      </c>
      <c r="D964" t="s">
        <v>6031</v>
      </c>
      <c r="E964" t="s">
        <v>6032</v>
      </c>
      <c r="F964" t="s">
        <v>6033</v>
      </c>
      <c r="G964" t="s">
        <v>1945</v>
      </c>
      <c r="H964" t="s">
        <v>3189</v>
      </c>
      <c r="I964" t="s">
        <v>1938</v>
      </c>
      <c r="J964" t="s">
        <v>1854</v>
      </c>
    </row>
    <row r="965" spans="1:10" x14ac:dyDescent="0.25">
      <c r="A965" t="s">
        <v>1856</v>
      </c>
      <c r="B965" t="s">
        <v>6034</v>
      </c>
      <c r="C965" t="s">
        <v>6035</v>
      </c>
      <c r="D965" t="s">
        <v>6036</v>
      </c>
      <c r="E965" t="s">
        <v>6037</v>
      </c>
      <c r="F965" t="s">
        <v>3315</v>
      </c>
      <c r="G965" t="s">
        <v>6210</v>
      </c>
      <c r="H965">
        <v>40510</v>
      </c>
      <c r="I965" t="s">
        <v>1938</v>
      </c>
      <c r="J965" t="s">
        <v>1856</v>
      </c>
    </row>
    <row r="966" spans="1:10" x14ac:dyDescent="0.25">
      <c r="A966" t="s">
        <v>1858</v>
      </c>
      <c r="B966" t="s">
        <v>6038</v>
      </c>
      <c r="C966" t="s">
        <v>6039</v>
      </c>
      <c r="D966" t="s">
        <v>6040</v>
      </c>
      <c r="E966" t="s">
        <v>6041</v>
      </c>
      <c r="F966" t="s">
        <v>3780</v>
      </c>
      <c r="G966" t="s">
        <v>6210</v>
      </c>
      <c r="H966">
        <v>92165</v>
      </c>
      <c r="I966" t="s">
        <v>1947</v>
      </c>
      <c r="J966" t="s">
        <v>1858</v>
      </c>
    </row>
    <row r="967" spans="1:10" x14ac:dyDescent="0.25">
      <c r="A967" t="s">
        <v>1860</v>
      </c>
      <c r="B967" t="s">
        <v>6042</v>
      </c>
      <c r="C967" t="s">
        <v>6043</v>
      </c>
      <c r="E967" t="s">
        <v>6044</v>
      </c>
      <c r="F967" t="s">
        <v>1982</v>
      </c>
      <c r="G967" t="s">
        <v>6210</v>
      </c>
      <c r="H967">
        <v>90040</v>
      </c>
      <c r="I967" t="s">
        <v>1938</v>
      </c>
      <c r="J967" t="s">
        <v>1860</v>
      </c>
    </row>
    <row r="968" spans="1:10" x14ac:dyDescent="0.25">
      <c r="A968" t="s">
        <v>1862</v>
      </c>
      <c r="B968" t="s">
        <v>6045</v>
      </c>
      <c r="C968" t="s">
        <v>6046</v>
      </c>
      <c r="D968" t="s">
        <v>6047</v>
      </c>
      <c r="E968" t="s">
        <v>6048</v>
      </c>
      <c r="F968" t="s">
        <v>2771</v>
      </c>
      <c r="G968" t="s">
        <v>6210</v>
      </c>
      <c r="H968">
        <v>11210</v>
      </c>
      <c r="I968" t="s">
        <v>1938</v>
      </c>
      <c r="J968" t="s">
        <v>1862</v>
      </c>
    </row>
    <row r="969" spans="1:10" x14ac:dyDescent="0.25">
      <c r="A969" t="s">
        <v>1864</v>
      </c>
      <c r="B969" t="s">
        <v>6049</v>
      </c>
      <c r="C969" t="s">
        <v>6050</v>
      </c>
      <c r="D969" t="s">
        <v>6051</v>
      </c>
      <c r="E969" t="s">
        <v>6052</v>
      </c>
      <c r="F969" t="s">
        <v>6053</v>
      </c>
      <c r="G969" t="s">
        <v>1945</v>
      </c>
      <c r="H969" t="s">
        <v>2079</v>
      </c>
      <c r="I969" t="s">
        <v>1938</v>
      </c>
      <c r="J969" t="s">
        <v>1864</v>
      </c>
    </row>
    <row r="970" spans="1:10" x14ac:dyDescent="0.25">
      <c r="A970" t="s">
        <v>1866</v>
      </c>
      <c r="B970" t="s">
        <v>6054</v>
      </c>
      <c r="C970" t="s">
        <v>6055</v>
      </c>
      <c r="D970" t="s">
        <v>6056</v>
      </c>
      <c r="E970" t="s">
        <v>6057</v>
      </c>
      <c r="F970" t="s">
        <v>6058</v>
      </c>
      <c r="G970" t="s">
        <v>6210</v>
      </c>
      <c r="H970">
        <v>32627</v>
      </c>
      <c r="I970" t="s">
        <v>1947</v>
      </c>
      <c r="J970" t="s">
        <v>1866</v>
      </c>
    </row>
    <row r="971" spans="1:10" x14ac:dyDescent="0.25">
      <c r="A971" t="s">
        <v>1868</v>
      </c>
      <c r="B971" t="s">
        <v>6059</v>
      </c>
      <c r="C971" t="s">
        <v>6060</v>
      </c>
      <c r="D971" t="s">
        <v>6061</v>
      </c>
      <c r="E971" t="s">
        <v>6062</v>
      </c>
      <c r="F971" t="s">
        <v>2709</v>
      </c>
      <c r="G971" t="s">
        <v>6210</v>
      </c>
      <c r="H971">
        <v>34620</v>
      </c>
      <c r="I971" t="s">
        <v>1938</v>
      </c>
      <c r="J971" t="s">
        <v>1868</v>
      </c>
    </row>
    <row r="972" spans="1:10" x14ac:dyDescent="0.25">
      <c r="A972" t="s">
        <v>1870</v>
      </c>
      <c r="B972" t="s">
        <v>6063</v>
      </c>
      <c r="D972" t="s">
        <v>6064</v>
      </c>
      <c r="E972" t="s">
        <v>6065</v>
      </c>
      <c r="F972" t="s">
        <v>4407</v>
      </c>
      <c r="G972" t="s">
        <v>6210</v>
      </c>
      <c r="H972">
        <v>79165</v>
      </c>
      <c r="I972" t="s">
        <v>1947</v>
      </c>
      <c r="J972" t="s">
        <v>1870</v>
      </c>
    </row>
    <row r="973" spans="1:10" x14ac:dyDescent="0.25">
      <c r="A973" t="s">
        <v>1872</v>
      </c>
      <c r="B973" t="s">
        <v>6066</v>
      </c>
      <c r="C973" t="s">
        <v>6067</v>
      </c>
      <c r="D973" t="s">
        <v>6068</v>
      </c>
      <c r="E973" t="s">
        <v>6069</v>
      </c>
      <c r="F973" t="s">
        <v>2262</v>
      </c>
      <c r="G973" t="s">
        <v>6210</v>
      </c>
      <c r="H973">
        <v>76121</v>
      </c>
      <c r="I973" t="s">
        <v>1947</v>
      </c>
      <c r="J973" t="s">
        <v>1872</v>
      </c>
    </row>
    <row r="974" spans="1:10" x14ac:dyDescent="0.25">
      <c r="A974" t="s">
        <v>1874</v>
      </c>
      <c r="B974" t="s">
        <v>6070</v>
      </c>
      <c r="D974" t="s">
        <v>6071</v>
      </c>
      <c r="E974" t="s">
        <v>6072</v>
      </c>
      <c r="F974" t="s">
        <v>5085</v>
      </c>
      <c r="G974" t="s">
        <v>1945</v>
      </c>
      <c r="H974" t="s">
        <v>5086</v>
      </c>
      <c r="I974" t="s">
        <v>1938</v>
      </c>
      <c r="J974" t="s">
        <v>1874</v>
      </c>
    </row>
    <row r="975" spans="1:10" x14ac:dyDescent="0.25">
      <c r="A975" t="s">
        <v>1876</v>
      </c>
      <c r="B975" t="s">
        <v>6073</v>
      </c>
      <c r="C975" t="s">
        <v>6074</v>
      </c>
      <c r="D975" t="s">
        <v>6075</v>
      </c>
      <c r="E975" t="s">
        <v>6076</v>
      </c>
      <c r="F975" t="s">
        <v>2221</v>
      </c>
      <c r="G975" t="s">
        <v>6210</v>
      </c>
      <c r="H975">
        <v>32575</v>
      </c>
      <c r="I975" t="s">
        <v>1947</v>
      </c>
      <c r="J975" t="s">
        <v>1876</v>
      </c>
    </row>
    <row r="976" spans="1:10" x14ac:dyDescent="0.25">
      <c r="A976" t="s">
        <v>1878</v>
      </c>
      <c r="B976" t="s">
        <v>6077</v>
      </c>
      <c r="C976" t="s">
        <v>6078</v>
      </c>
      <c r="D976" t="s">
        <v>6079</v>
      </c>
      <c r="E976" t="s">
        <v>6080</v>
      </c>
      <c r="F976" t="s">
        <v>3143</v>
      </c>
      <c r="G976" t="s">
        <v>6210</v>
      </c>
      <c r="H976">
        <v>98405</v>
      </c>
      <c r="I976" t="s">
        <v>1938</v>
      </c>
      <c r="J976" t="s">
        <v>1878</v>
      </c>
    </row>
    <row r="977" spans="1:10" x14ac:dyDescent="0.25">
      <c r="A977" t="s">
        <v>1880</v>
      </c>
      <c r="B977" t="s">
        <v>6081</v>
      </c>
      <c r="C977" t="s">
        <v>6082</v>
      </c>
      <c r="D977" t="s">
        <v>6083</v>
      </c>
      <c r="E977" t="s">
        <v>6084</v>
      </c>
      <c r="F977" t="s">
        <v>6085</v>
      </c>
      <c r="G977" t="s">
        <v>1945</v>
      </c>
      <c r="H977" t="s">
        <v>3178</v>
      </c>
      <c r="I977" t="s">
        <v>1938</v>
      </c>
      <c r="J977" t="s">
        <v>1880</v>
      </c>
    </row>
    <row r="978" spans="1:10" x14ac:dyDescent="0.25">
      <c r="A978" t="s">
        <v>1882</v>
      </c>
      <c r="B978" t="s">
        <v>6086</v>
      </c>
      <c r="C978" t="s">
        <v>6087</v>
      </c>
      <c r="D978" t="s">
        <v>6088</v>
      </c>
      <c r="E978" t="s">
        <v>6089</v>
      </c>
      <c r="F978" t="s">
        <v>2234</v>
      </c>
      <c r="G978" t="s">
        <v>6210</v>
      </c>
      <c r="H978">
        <v>46896</v>
      </c>
      <c r="I978" t="s">
        <v>1938</v>
      </c>
      <c r="J978" t="s">
        <v>1882</v>
      </c>
    </row>
    <row r="979" spans="1:10" x14ac:dyDescent="0.25">
      <c r="A979" t="s">
        <v>1884</v>
      </c>
      <c r="B979" t="s">
        <v>6090</v>
      </c>
      <c r="C979" t="s">
        <v>6091</v>
      </c>
      <c r="D979" t="s">
        <v>6092</v>
      </c>
      <c r="E979" t="s">
        <v>6093</v>
      </c>
      <c r="F979" t="s">
        <v>4407</v>
      </c>
      <c r="G979" t="s">
        <v>6210</v>
      </c>
      <c r="H979">
        <v>79105</v>
      </c>
      <c r="I979" t="s">
        <v>1947</v>
      </c>
      <c r="J979" t="s">
        <v>1884</v>
      </c>
    </row>
    <row r="980" spans="1:10" x14ac:dyDescent="0.25">
      <c r="A980" t="s">
        <v>6094</v>
      </c>
      <c r="B980" t="s">
        <v>6095</v>
      </c>
      <c r="C980" t="s">
        <v>6096</v>
      </c>
      <c r="D980" t="s">
        <v>6097</v>
      </c>
      <c r="E980" t="s">
        <v>6098</v>
      </c>
      <c r="F980" t="s">
        <v>2182</v>
      </c>
      <c r="G980" t="s">
        <v>6210</v>
      </c>
      <c r="H980">
        <v>20436</v>
      </c>
      <c r="I980" t="s">
        <v>1938</v>
      </c>
      <c r="J980" t="s">
        <v>6094</v>
      </c>
    </row>
    <row r="981" spans="1:10" x14ac:dyDescent="0.25">
      <c r="A981" t="s">
        <v>1887</v>
      </c>
      <c r="B981" t="s">
        <v>6099</v>
      </c>
      <c r="D981" t="s">
        <v>6100</v>
      </c>
      <c r="E981" t="s">
        <v>6101</v>
      </c>
      <c r="F981" t="s">
        <v>6102</v>
      </c>
      <c r="G981" t="s">
        <v>6210</v>
      </c>
      <c r="H981">
        <v>20910</v>
      </c>
      <c r="I981" t="s">
        <v>1947</v>
      </c>
      <c r="J981" t="s">
        <v>1887</v>
      </c>
    </row>
    <row r="982" spans="1:10" x14ac:dyDescent="0.25">
      <c r="A982" t="s">
        <v>1889</v>
      </c>
      <c r="B982" t="s">
        <v>6103</v>
      </c>
      <c r="D982" t="s">
        <v>6104</v>
      </c>
      <c r="E982" t="s">
        <v>6105</v>
      </c>
      <c r="F982" t="s">
        <v>3818</v>
      </c>
      <c r="G982" t="s">
        <v>6210</v>
      </c>
      <c r="H982">
        <v>53726</v>
      </c>
      <c r="I982" t="s">
        <v>1938</v>
      </c>
      <c r="J982" t="s">
        <v>1889</v>
      </c>
    </row>
    <row r="983" spans="1:10" x14ac:dyDescent="0.25">
      <c r="A983" t="s">
        <v>1891</v>
      </c>
      <c r="B983" t="s">
        <v>6106</v>
      </c>
      <c r="C983" t="s">
        <v>6107</v>
      </c>
      <c r="D983" t="s">
        <v>6108</v>
      </c>
      <c r="E983" t="s">
        <v>6109</v>
      </c>
      <c r="F983" t="s">
        <v>6110</v>
      </c>
      <c r="G983" t="s">
        <v>6210</v>
      </c>
      <c r="H983">
        <v>77305</v>
      </c>
      <c r="I983" t="s">
        <v>1938</v>
      </c>
      <c r="J983" t="s">
        <v>1891</v>
      </c>
    </row>
    <row r="984" spans="1:10" x14ac:dyDescent="0.25">
      <c r="A984" t="s">
        <v>1893</v>
      </c>
      <c r="B984" t="s">
        <v>6111</v>
      </c>
      <c r="C984" t="s">
        <v>6112</v>
      </c>
      <c r="D984" t="s">
        <v>6113</v>
      </c>
      <c r="E984" t="s">
        <v>6114</v>
      </c>
      <c r="F984" t="s">
        <v>3174</v>
      </c>
      <c r="G984" t="s">
        <v>6210</v>
      </c>
      <c r="H984">
        <v>76205</v>
      </c>
      <c r="I984" t="s">
        <v>1938</v>
      </c>
      <c r="J984" t="s">
        <v>1893</v>
      </c>
    </row>
    <row r="985" spans="1:10" x14ac:dyDescent="0.25">
      <c r="A985" t="s">
        <v>1895</v>
      </c>
      <c r="B985" t="s">
        <v>6115</v>
      </c>
      <c r="C985" t="s">
        <v>6116</v>
      </c>
      <c r="D985" t="s">
        <v>6117</v>
      </c>
      <c r="E985" t="s">
        <v>6118</v>
      </c>
      <c r="F985" t="s">
        <v>2283</v>
      </c>
      <c r="G985" t="s">
        <v>6210</v>
      </c>
      <c r="H985">
        <v>43231</v>
      </c>
      <c r="I985" t="s">
        <v>1938</v>
      </c>
      <c r="J985" t="s">
        <v>1895</v>
      </c>
    </row>
    <row r="986" spans="1:10" x14ac:dyDescent="0.25">
      <c r="A986" t="s">
        <v>1897</v>
      </c>
      <c r="B986" t="s">
        <v>6119</v>
      </c>
      <c r="C986" t="s">
        <v>6120</v>
      </c>
      <c r="E986" t="s">
        <v>6121</v>
      </c>
      <c r="F986" t="s">
        <v>6122</v>
      </c>
      <c r="G986" t="s">
        <v>1945</v>
      </c>
      <c r="H986" t="s">
        <v>3258</v>
      </c>
      <c r="I986" t="s">
        <v>1938</v>
      </c>
      <c r="J986" t="s">
        <v>1897</v>
      </c>
    </row>
    <row r="987" spans="1:10" x14ac:dyDescent="0.25">
      <c r="A987" t="s">
        <v>1899</v>
      </c>
      <c r="B987" t="s">
        <v>6123</v>
      </c>
      <c r="C987" t="s">
        <v>6124</v>
      </c>
      <c r="D987" t="s">
        <v>6125</v>
      </c>
      <c r="E987" t="s">
        <v>6126</v>
      </c>
      <c r="F987" t="s">
        <v>2089</v>
      </c>
      <c r="G987" t="s">
        <v>6210</v>
      </c>
      <c r="H987">
        <v>80045</v>
      </c>
      <c r="I987" t="s">
        <v>1947</v>
      </c>
      <c r="J987" t="s">
        <v>1899</v>
      </c>
    </row>
    <row r="988" spans="1:10" x14ac:dyDescent="0.25">
      <c r="A988" t="s">
        <v>1901</v>
      </c>
      <c r="B988" t="s">
        <v>6127</v>
      </c>
      <c r="C988" t="s">
        <v>6128</v>
      </c>
      <c r="D988" t="s">
        <v>6129</v>
      </c>
      <c r="E988" t="s">
        <v>6130</v>
      </c>
      <c r="F988" t="s">
        <v>6131</v>
      </c>
      <c r="G988" t="s">
        <v>6210</v>
      </c>
      <c r="H988">
        <v>32128</v>
      </c>
      <c r="I988" t="s">
        <v>1947</v>
      </c>
      <c r="J988" t="s">
        <v>1901</v>
      </c>
    </row>
    <row r="989" spans="1:10" x14ac:dyDescent="0.25">
      <c r="A989" t="s">
        <v>1903</v>
      </c>
      <c r="B989" t="s">
        <v>6132</v>
      </c>
      <c r="C989" t="s">
        <v>6133</v>
      </c>
      <c r="D989" t="s">
        <v>6134</v>
      </c>
      <c r="E989" t="s">
        <v>6135</v>
      </c>
      <c r="F989" t="s">
        <v>4079</v>
      </c>
      <c r="G989" t="s">
        <v>2112</v>
      </c>
      <c r="H989" t="s">
        <v>2389</v>
      </c>
      <c r="I989" t="s">
        <v>1938</v>
      </c>
      <c r="J989" t="s">
        <v>1903</v>
      </c>
    </row>
    <row r="990" spans="1:10" x14ac:dyDescent="0.25">
      <c r="A990" t="s">
        <v>1905</v>
      </c>
      <c r="B990" t="s">
        <v>6136</v>
      </c>
      <c r="D990" t="s">
        <v>6137</v>
      </c>
      <c r="E990" t="s">
        <v>6138</v>
      </c>
      <c r="F990" t="s">
        <v>6139</v>
      </c>
      <c r="G990" t="s">
        <v>2112</v>
      </c>
      <c r="H990" t="s">
        <v>6140</v>
      </c>
      <c r="I990" t="s">
        <v>1938</v>
      </c>
      <c r="J990" t="s">
        <v>1905</v>
      </c>
    </row>
    <row r="991" spans="1:10" x14ac:dyDescent="0.25">
      <c r="A991" t="s">
        <v>1907</v>
      </c>
      <c r="B991" t="s">
        <v>6141</v>
      </c>
      <c r="D991" t="s">
        <v>6142</v>
      </c>
      <c r="E991" t="s">
        <v>6143</v>
      </c>
      <c r="F991" t="s">
        <v>2009</v>
      </c>
      <c r="G991" t="s">
        <v>6210</v>
      </c>
      <c r="H991">
        <v>63131</v>
      </c>
      <c r="I991" t="s">
        <v>1938</v>
      </c>
      <c r="J991" t="s">
        <v>1907</v>
      </c>
    </row>
    <row r="992" spans="1:10" x14ac:dyDescent="0.25">
      <c r="A992" t="s">
        <v>6144</v>
      </c>
      <c r="B992" t="s">
        <v>6145</v>
      </c>
      <c r="C992" t="s">
        <v>6146</v>
      </c>
      <c r="D992" t="s">
        <v>6147</v>
      </c>
      <c r="E992" t="s">
        <v>6148</v>
      </c>
      <c r="F992" t="s">
        <v>6149</v>
      </c>
      <c r="G992" t="s">
        <v>6210</v>
      </c>
      <c r="H992">
        <v>92056</v>
      </c>
      <c r="I992" t="s">
        <v>1947</v>
      </c>
      <c r="J992" t="s">
        <v>6144</v>
      </c>
    </row>
    <row r="993" spans="1:10" x14ac:dyDescent="0.25">
      <c r="A993" t="s">
        <v>6150</v>
      </c>
      <c r="B993" t="s">
        <v>6151</v>
      </c>
      <c r="D993" t="s">
        <v>6152</v>
      </c>
      <c r="E993" t="s">
        <v>6153</v>
      </c>
      <c r="F993" t="s">
        <v>2674</v>
      </c>
      <c r="G993" t="s">
        <v>6210</v>
      </c>
      <c r="H993">
        <v>37416</v>
      </c>
      <c r="I993" t="s">
        <v>1938</v>
      </c>
      <c r="J993" t="s">
        <v>6150</v>
      </c>
    </row>
    <row r="994" spans="1:10" x14ac:dyDescent="0.25">
      <c r="A994" t="s">
        <v>1911</v>
      </c>
      <c r="B994" t="s">
        <v>6154</v>
      </c>
      <c r="D994" t="s">
        <v>6155</v>
      </c>
      <c r="E994" t="s">
        <v>6156</v>
      </c>
      <c r="F994" t="s">
        <v>3962</v>
      </c>
      <c r="G994" t="s">
        <v>1945</v>
      </c>
      <c r="H994" t="s">
        <v>2766</v>
      </c>
      <c r="I994" t="s">
        <v>1947</v>
      </c>
      <c r="J994" t="s">
        <v>1911</v>
      </c>
    </row>
    <row r="995" spans="1:10" x14ac:dyDescent="0.25">
      <c r="A995" t="s">
        <v>1913</v>
      </c>
      <c r="B995" t="s">
        <v>6157</v>
      </c>
      <c r="D995" t="s">
        <v>6158</v>
      </c>
      <c r="E995" t="s">
        <v>6159</v>
      </c>
      <c r="F995" t="s">
        <v>2013</v>
      </c>
      <c r="G995" t="s">
        <v>6210</v>
      </c>
      <c r="H995">
        <v>19125</v>
      </c>
      <c r="I995" t="s">
        <v>1947</v>
      </c>
      <c r="J995" t="s">
        <v>1913</v>
      </c>
    </row>
    <row r="996" spans="1:10" x14ac:dyDescent="0.25">
      <c r="A996" t="s">
        <v>1915</v>
      </c>
      <c r="B996" t="s">
        <v>6160</v>
      </c>
      <c r="D996" t="s">
        <v>6161</v>
      </c>
      <c r="E996" t="s">
        <v>6162</v>
      </c>
      <c r="F996" t="s">
        <v>3907</v>
      </c>
      <c r="G996" t="s">
        <v>1945</v>
      </c>
      <c r="H996" t="s">
        <v>3908</v>
      </c>
      <c r="I996" t="s">
        <v>1947</v>
      </c>
      <c r="J996" t="s">
        <v>1915</v>
      </c>
    </row>
    <row r="997" spans="1:10" x14ac:dyDescent="0.25">
      <c r="A997" t="s">
        <v>1917</v>
      </c>
      <c r="B997" t="s">
        <v>6163</v>
      </c>
      <c r="C997" t="s">
        <v>6164</v>
      </c>
      <c r="D997" t="s">
        <v>6165</v>
      </c>
      <c r="E997" t="s">
        <v>6166</v>
      </c>
      <c r="F997" t="s">
        <v>2321</v>
      </c>
      <c r="G997" t="s">
        <v>6210</v>
      </c>
      <c r="H997">
        <v>75210</v>
      </c>
      <c r="I997" t="s">
        <v>1947</v>
      </c>
      <c r="J997" t="s">
        <v>1917</v>
      </c>
    </row>
    <row r="998" spans="1:10" x14ac:dyDescent="0.25">
      <c r="A998" t="s">
        <v>1909</v>
      </c>
      <c r="B998" t="s">
        <v>6167</v>
      </c>
      <c r="D998" t="s">
        <v>6168</v>
      </c>
      <c r="E998" t="s">
        <v>6169</v>
      </c>
      <c r="F998" t="s">
        <v>5023</v>
      </c>
      <c r="G998" t="s">
        <v>6210</v>
      </c>
      <c r="H998">
        <v>72905</v>
      </c>
      <c r="I998" t="s">
        <v>1947</v>
      </c>
      <c r="J998" t="s">
        <v>1909</v>
      </c>
    </row>
    <row r="999" spans="1:10" x14ac:dyDescent="0.25">
      <c r="A999" t="s">
        <v>6170</v>
      </c>
      <c r="B999" t="s">
        <v>6171</v>
      </c>
      <c r="D999" t="s">
        <v>6172</v>
      </c>
      <c r="E999" t="s">
        <v>6173</v>
      </c>
      <c r="F999" t="s">
        <v>2336</v>
      </c>
      <c r="G999" t="s">
        <v>6210</v>
      </c>
      <c r="H999">
        <v>80920</v>
      </c>
      <c r="I999" t="s">
        <v>1938</v>
      </c>
      <c r="J999" t="s">
        <v>6170</v>
      </c>
    </row>
    <row r="1000" spans="1:10" x14ac:dyDescent="0.25">
      <c r="A1000" t="s">
        <v>1921</v>
      </c>
      <c r="B1000" t="s">
        <v>6174</v>
      </c>
      <c r="C1000" t="s">
        <v>6175</v>
      </c>
      <c r="D1000" t="s">
        <v>6176</v>
      </c>
      <c r="E1000" t="s">
        <v>6177</v>
      </c>
      <c r="F1000" t="s">
        <v>2753</v>
      </c>
      <c r="G1000" t="s">
        <v>6210</v>
      </c>
      <c r="H1000">
        <v>90610</v>
      </c>
      <c r="I1000" t="s">
        <v>1947</v>
      </c>
      <c r="J1000" t="s">
        <v>1921</v>
      </c>
    </row>
    <row r="1001" spans="1:10" x14ac:dyDescent="0.25">
      <c r="A1001" t="s">
        <v>1923</v>
      </c>
      <c r="B1001" t="s">
        <v>6178</v>
      </c>
      <c r="D1001" t="s">
        <v>6179</v>
      </c>
      <c r="E1001" t="s">
        <v>6180</v>
      </c>
      <c r="F1001" t="s">
        <v>4480</v>
      </c>
      <c r="G1001" t="s">
        <v>2112</v>
      </c>
      <c r="H1001" t="s">
        <v>6181</v>
      </c>
      <c r="I1001" t="s">
        <v>1938</v>
      </c>
      <c r="J1001" t="s">
        <v>1923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2CEB-D640-40F7-AE9F-BCF7DFA45C14}">
  <dimension ref="A1:G49"/>
  <sheetViews>
    <sheetView workbookViewId="0">
      <selection activeCell="I8" sqref="I8"/>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4</v>
      </c>
      <c r="B1" t="s">
        <v>6182</v>
      </c>
      <c r="C1" t="s">
        <v>6183</v>
      </c>
      <c r="D1" t="s">
        <v>6184</v>
      </c>
      <c r="E1" t="s">
        <v>6185</v>
      </c>
      <c r="F1" t="s">
        <v>6186</v>
      </c>
      <c r="G1" t="s">
        <v>6187</v>
      </c>
    </row>
    <row r="2" spans="1:7" x14ac:dyDescent="0.25">
      <c r="A2" t="s">
        <v>121</v>
      </c>
      <c r="B2" t="s">
        <v>6188</v>
      </c>
      <c r="C2" t="s">
        <v>6215</v>
      </c>
      <c r="D2">
        <v>0.2</v>
      </c>
      <c r="E2">
        <v>3.8849999999999998</v>
      </c>
      <c r="F2">
        <v>1.9424999999999999</v>
      </c>
      <c r="G2">
        <v>0.34964999999999996</v>
      </c>
    </row>
    <row r="3" spans="1:7" x14ac:dyDescent="0.25">
      <c r="A3" t="s">
        <v>198</v>
      </c>
      <c r="B3" t="s">
        <v>6188</v>
      </c>
      <c r="C3" t="s">
        <v>6215</v>
      </c>
      <c r="D3">
        <v>0.5</v>
      </c>
      <c r="E3">
        <v>7.77</v>
      </c>
      <c r="F3">
        <v>1.5539999999999998</v>
      </c>
      <c r="G3">
        <v>0.69929999999999992</v>
      </c>
    </row>
    <row r="4" spans="1:7" x14ac:dyDescent="0.25">
      <c r="A4" t="s">
        <v>12</v>
      </c>
      <c r="B4" t="s">
        <v>6188</v>
      </c>
      <c r="C4" t="s">
        <v>6215</v>
      </c>
      <c r="D4">
        <v>1</v>
      </c>
      <c r="E4">
        <v>12.95</v>
      </c>
      <c r="F4">
        <v>1.2949999999999999</v>
      </c>
      <c r="G4">
        <v>1.1655</v>
      </c>
    </row>
    <row r="5" spans="1:7" x14ac:dyDescent="0.25">
      <c r="A5" t="s">
        <v>210</v>
      </c>
      <c r="B5" t="s">
        <v>6188</v>
      </c>
      <c r="C5" t="s">
        <v>6215</v>
      </c>
      <c r="D5">
        <v>2.5</v>
      </c>
      <c r="E5">
        <v>29.784999999999997</v>
      </c>
      <c r="F5">
        <v>1.1913999999999998</v>
      </c>
      <c r="G5">
        <v>2.6806499999999995</v>
      </c>
    </row>
    <row r="6" spans="1:7" x14ac:dyDescent="0.25">
      <c r="A6" t="s">
        <v>50</v>
      </c>
      <c r="B6" t="s">
        <v>6188</v>
      </c>
      <c r="C6" t="s">
        <v>6193</v>
      </c>
      <c r="D6">
        <v>0.2</v>
      </c>
      <c r="E6">
        <v>3.375</v>
      </c>
      <c r="F6">
        <v>1.6875</v>
      </c>
      <c r="G6">
        <v>0.30374999999999996</v>
      </c>
    </row>
    <row r="7" spans="1:7" x14ac:dyDescent="0.25">
      <c r="A7" t="s">
        <v>73</v>
      </c>
      <c r="B7" t="s">
        <v>6188</v>
      </c>
      <c r="C7" t="s">
        <v>6193</v>
      </c>
      <c r="D7">
        <v>0.5</v>
      </c>
      <c r="E7">
        <v>6.75</v>
      </c>
      <c r="F7">
        <v>1.35</v>
      </c>
      <c r="G7">
        <v>0.60749999999999993</v>
      </c>
    </row>
    <row r="8" spans="1:7" x14ac:dyDescent="0.25">
      <c r="A8" t="s">
        <v>67</v>
      </c>
      <c r="B8" t="s">
        <v>6188</v>
      </c>
      <c r="C8" t="s">
        <v>6193</v>
      </c>
      <c r="D8">
        <v>1</v>
      </c>
      <c r="E8">
        <v>11.25</v>
      </c>
      <c r="F8">
        <v>1.125</v>
      </c>
      <c r="G8">
        <v>1.0125</v>
      </c>
    </row>
    <row r="9" spans="1:7" x14ac:dyDescent="0.25">
      <c r="A9" t="s">
        <v>177</v>
      </c>
      <c r="B9" t="s">
        <v>6188</v>
      </c>
      <c r="C9" t="s">
        <v>6193</v>
      </c>
      <c r="D9">
        <v>2.5</v>
      </c>
      <c r="E9">
        <v>25.874999999999996</v>
      </c>
      <c r="F9">
        <v>1.0349999999999999</v>
      </c>
      <c r="G9">
        <v>2.3287499999999994</v>
      </c>
    </row>
    <row r="10" spans="1:7" x14ac:dyDescent="0.25">
      <c r="A10" t="s">
        <v>60</v>
      </c>
      <c r="B10" t="s">
        <v>6188</v>
      </c>
      <c r="C10" t="s">
        <v>6195</v>
      </c>
      <c r="D10">
        <v>0.2</v>
      </c>
      <c r="E10">
        <v>2.9849999999999999</v>
      </c>
      <c r="F10">
        <v>1.4924999999999999</v>
      </c>
      <c r="G10">
        <v>0.26865</v>
      </c>
    </row>
    <row r="11" spans="1:7" x14ac:dyDescent="0.25">
      <c r="A11" t="s">
        <v>78</v>
      </c>
      <c r="B11" t="s">
        <v>6188</v>
      </c>
      <c r="C11" t="s">
        <v>6195</v>
      </c>
      <c r="D11">
        <v>0.5</v>
      </c>
      <c r="E11">
        <v>5.97</v>
      </c>
      <c r="F11">
        <v>1.194</v>
      </c>
      <c r="G11">
        <v>0.5373</v>
      </c>
    </row>
    <row r="12" spans="1:7" x14ac:dyDescent="0.25">
      <c r="A12" t="s">
        <v>33</v>
      </c>
      <c r="B12" t="s">
        <v>6188</v>
      </c>
      <c r="C12" t="s">
        <v>6195</v>
      </c>
      <c r="D12">
        <v>1</v>
      </c>
      <c r="E12">
        <v>9.9499999999999993</v>
      </c>
      <c r="F12">
        <v>0.99499999999999988</v>
      </c>
      <c r="G12">
        <v>0.89549999999999985</v>
      </c>
    </row>
    <row r="13" spans="1:7" x14ac:dyDescent="0.25">
      <c r="A13" t="s">
        <v>124</v>
      </c>
      <c r="B13" t="s">
        <v>6188</v>
      </c>
      <c r="C13" t="s">
        <v>6195</v>
      </c>
      <c r="D13">
        <v>2.5</v>
      </c>
      <c r="E13">
        <v>22.884999999999998</v>
      </c>
      <c r="F13">
        <v>0.91539999999999988</v>
      </c>
      <c r="G13">
        <v>2.0596499999999995</v>
      </c>
    </row>
    <row r="14" spans="1:7" x14ac:dyDescent="0.25">
      <c r="A14" t="s">
        <v>188</v>
      </c>
      <c r="B14" t="s">
        <v>6196</v>
      </c>
      <c r="C14" t="s">
        <v>6215</v>
      </c>
      <c r="D14">
        <v>0.2</v>
      </c>
      <c r="E14">
        <v>3.5849999999999995</v>
      </c>
      <c r="F14">
        <v>1.7924999999999998</v>
      </c>
      <c r="G14">
        <v>0.21509999999999996</v>
      </c>
    </row>
    <row r="15" spans="1:7" x14ac:dyDescent="0.25">
      <c r="A15" t="s">
        <v>163</v>
      </c>
      <c r="B15" t="s">
        <v>6196</v>
      </c>
      <c r="C15" t="s">
        <v>6215</v>
      </c>
      <c r="D15">
        <v>0.5</v>
      </c>
      <c r="E15">
        <v>7.169999999999999</v>
      </c>
      <c r="F15">
        <v>1.4339999999999997</v>
      </c>
      <c r="G15">
        <v>0.43019999999999992</v>
      </c>
    </row>
    <row r="16" spans="1:7" x14ac:dyDescent="0.25">
      <c r="A16" t="s">
        <v>195</v>
      </c>
      <c r="B16" t="s">
        <v>6196</v>
      </c>
      <c r="C16" t="s">
        <v>6215</v>
      </c>
      <c r="D16">
        <v>1</v>
      </c>
      <c r="E16">
        <v>11.95</v>
      </c>
      <c r="F16">
        <v>1.1949999999999998</v>
      </c>
      <c r="G16">
        <v>0.71699999999999997</v>
      </c>
    </row>
    <row r="17" spans="1:7" x14ac:dyDescent="0.25">
      <c r="A17" t="s">
        <v>16</v>
      </c>
      <c r="B17" t="s">
        <v>6196</v>
      </c>
      <c r="C17" t="s">
        <v>6215</v>
      </c>
      <c r="D17">
        <v>2.5</v>
      </c>
      <c r="E17">
        <v>27.484999999999996</v>
      </c>
      <c r="F17">
        <v>1.0993999999999999</v>
      </c>
      <c r="G17">
        <v>1.6490999999999998</v>
      </c>
    </row>
    <row r="18" spans="1:7" x14ac:dyDescent="0.25">
      <c r="A18" t="s">
        <v>168</v>
      </c>
      <c r="B18" t="s">
        <v>6196</v>
      </c>
      <c r="C18" t="s">
        <v>6193</v>
      </c>
      <c r="D18">
        <v>0.2</v>
      </c>
      <c r="E18">
        <v>2.9849999999999999</v>
      </c>
      <c r="F18">
        <v>1.4924999999999999</v>
      </c>
      <c r="G18">
        <v>0.17909999999999998</v>
      </c>
    </row>
    <row r="19" spans="1:7" x14ac:dyDescent="0.25">
      <c r="A19" t="s">
        <v>28</v>
      </c>
      <c r="B19" t="s">
        <v>6196</v>
      </c>
      <c r="C19" t="s">
        <v>6193</v>
      </c>
      <c r="D19">
        <v>0.5</v>
      </c>
      <c r="E19">
        <v>5.97</v>
      </c>
      <c r="F19">
        <v>1.194</v>
      </c>
      <c r="G19">
        <v>0.35819999999999996</v>
      </c>
    </row>
    <row r="20" spans="1:7" x14ac:dyDescent="0.25">
      <c r="A20" t="s">
        <v>8</v>
      </c>
      <c r="B20" t="s">
        <v>6196</v>
      </c>
      <c r="C20" t="s">
        <v>6193</v>
      </c>
      <c r="D20">
        <v>1</v>
      </c>
      <c r="E20">
        <v>9.9499999999999993</v>
      </c>
      <c r="F20">
        <v>0.99499999999999988</v>
      </c>
      <c r="G20">
        <v>0.59699999999999998</v>
      </c>
    </row>
    <row r="21" spans="1:7" x14ac:dyDescent="0.25">
      <c r="A21" t="s">
        <v>47</v>
      </c>
      <c r="B21" t="s">
        <v>6196</v>
      </c>
      <c r="C21" t="s">
        <v>6193</v>
      </c>
      <c r="D21">
        <v>2.5</v>
      </c>
      <c r="E21">
        <v>22.884999999999998</v>
      </c>
      <c r="F21">
        <v>0.91539999999999988</v>
      </c>
      <c r="G21">
        <v>1.3730999999999998</v>
      </c>
    </row>
    <row r="22" spans="1:7" x14ac:dyDescent="0.25">
      <c r="A22" t="s">
        <v>107</v>
      </c>
      <c r="B22" t="s">
        <v>6196</v>
      </c>
      <c r="C22" t="s">
        <v>6195</v>
      </c>
      <c r="D22">
        <v>0.2</v>
      </c>
      <c r="E22">
        <v>2.6849999999999996</v>
      </c>
      <c r="F22">
        <v>1.3424999999999998</v>
      </c>
      <c r="G22">
        <v>0.16109999999999997</v>
      </c>
    </row>
    <row r="23" spans="1:7" x14ac:dyDescent="0.25">
      <c r="A23" t="s">
        <v>152</v>
      </c>
      <c r="B23" t="s">
        <v>6196</v>
      </c>
      <c r="C23" t="s">
        <v>6195</v>
      </c>
      <c r="D23">
        <v>0.5</v>
      </c>
      <c r="E23">
        <v>5.3699999999999992</v>
      </c>
      <c r="F23">
        <v>1.0739999999999998</v>
      </c>
      <c r="G23">
        <v>0.32219999999999993</v>
      </c>
    </row>
    <row r="24" spans="1:7" x14ac:dyDescent="0.25">
      <c r="A24" t="s">
        <v>185</v>
      </c>
      <c r="B24" t="s">
        <v>6196</v>
      </c>
      <c r="C24" t="s">
        <v>6195</v>
      </c>
      <c r="D24">
        <v>1</v>
      </c>
      <c r="E24">
        <v>8.9499999999999993</v>
      </c>
      <c r="F24">
        <v>0.89499999999999991</v>
      </c>
      <c r="G24">
        <v>0.53699999999999992</v>
      </c>
    </row>
    <row r="25" spans="1:7" x14ac:dyDescent="0.25">
      <c r="A25" t="s">
        <v>41</v>
      </c>
      <c r="B25" t="s">
        <v>6196</v>
      </c>
      <c r="C25" t="s">
        <v>6195</v>
      </c>
      <c r="D25">
        <v>2.5</v>
      </c>
      <c r="E25">
        <v>20.584999999999997</v>
      </c>
      <c r="F25">
        <v>0.82339999999999991</v>
      </c>
      <c r="G25">
        <v>1.2350999999999999</v>
      </c>
    </row>
    <row r="26" spans="1:7" x14ac:dyDescent="0.25">
      <c r="A26" t="s">
        <v>25</v>
      </c>
      <c r="B26" t="s">
        <v>6198</v>
      </c>
      <c r="C26" t="s">
        <v>6215</v>
      </c>
      <c r="D26">
        <v>0.2</v>
      </c>
      <c r="E26">
        <v>4.7549999999999999</v>
      </c>
      <c r="F26">
        <v>2.3774999999999999</v>
      </c>
      <c r="G26">
        <v>0.61814999999999998</v>
      </c>
    </row>
    <row r="27" spans="1:7" x14ac:dyDescent="0.25">
      <c r="A27" t="s">
        <v>89</v>
      </c>
      <c r="B27" t="s">
        <v>6198</v>
      </c>
      <c r="C27" t="s">
        <v>6215</v>
      </c>
      <c r="D27">
        <v>0.5</v>
      </c>
      <c r="E27">
        <v>9.51</v>
      </c>
      <c r="F27">
        <v>1.9019999999999999</v>
      </c>
      <c r="G27">
        <v>1.2363</v>
      </c>
    </row>
    <row r="28" spans="1:7" x14ac:dyDescent="0.25">
      <c r="A28" t="s">
        <v>138</v>
      </c>
      <c r="B28" t="s">
        <v>6198</v>
      </c>
      <c r="C28" t="s">
        <v>6215</v>
      </c>
      <c r="D28">
        <v>1</v>
      </c>
      <c r="E28">
        <v>15.85</v>
      </c>
      <c r="F28">
        <v>1.585</v>
      </c>
      <c r="G28">
        <v>2.0605000000000002</v>
      </c>
    </row>
    <row r="29" spans="1:7" x14ac:dyDescent="0.25">
      <c r="A29" t="s">
        <v>110</v>
      </c>
      <c r="B29" t="s">
        <v>6198</v>
      </c>
      <c r="C29" t="s">
        <v>6215</v>
      </c>
      <c r="D29">
        <v>2.5</v>
      </c>
      <c r="E29">
        <v>36.454999999999998</v>
      </c>
      <c r="F29">
        <v>1.4581999999999999</v>
      </c>
      <c r="G29">
        <v>4.7391499999999995</v>
      </c>
    </row>
    <row r="30" spans="1:7" x14ac:dyDescent="0.25">
      <c r="A30" t="s">
        <v>83</v>
      </c>
      <c r="B30" t="s">
        <v>6198</v>
      </c>
      <c r="C30" t="s">
        <v>6193</v>
      </c>
      <c r="D30">
        <v>0.2</v>
      </c>
      <c r="E30">
        <v>4.3650000000000002</v>
      </c>
      <c r="F30">
        <v>2.1825000000000001</v>
      </c>
      <c r="G30">
        <v>0.56745000000000001</v>
      </c>
    </row>
    <row r="31" spans="1:7" x14ac:dyDescent="0.25">
      <c r="A31" t="s">
        <v>84</v>
      </c>
      <c r="B31" t="s">
        <v>6198</v>
      </c>
      <c r="C31" t="s">
        <v>6193</v>
      </c>
      <c r="D31">
        <v>0.5</v>
      </c>
      <c r="E31">
        <v>8.73</v>
      </c>
      <c r="F31">
        <v>1.746</v>
      </c>
      <c r="G31">
        <v>1.1349</v>
      </c>
    </row>
    <row r="32" spans="1:7" x14ac:dyDescent="0.25">
      <c r="A32" t="s">
        <v>102</v>
      </c>
      <c r="B32" t="s">
        <v>6198</v>
      </c>
      <c r="C32" t="s">
        <v>6193</v>
      </c>
      <c r="D32">
        <v>1</v>
      </c>
      <c r="E32">
        <v>14.55</v>
      </c>
      <c r="F32">
        <v>1.4550000000000001</v>
      </c>
      <c r="G32">
        <v>1.8915000000000002</v>
      </c>
    </row>
    <row r="33" spans="1:7" x14ac:dyDescent="0.25">
      <c r="A33" t="s">
        <v>203</v>
      </c>
      <c r="B33" t="s">
        <v>6198</v>
      </c>
      <c r="C33" t="s">
        <v>6193</v>
      </c>
      <c r="D33">
        <v>2.5</v>
      </c>
      <c r="E33">
        <v>33.464999999999996</v>
      </c>
      <c r="F33">
        <v>1.3385999999999998</v>
      </c>
      <c r="G33">
        <v>4.3504499999999995</v>
      </c>
    </row>
    <row r="34" spans="1:7" x14ac:dyDescent="0.25">
      <c r="A34" t="s">
        <v>44</v>
      </c>
      <c r="B34" t="s">
        <v>6198</v>
      </c>
      <c r="C34" t="s">
        <v>6195</v>
      </c>
      <c r="D34">
        <v>0.2</v>
      </c>
      <c r="E34">
        <v>3.8849999999999998</v>
      </c>
      <c r="F34">
        <v>1.9424999999999999</v>
      </c>
      <c r="G34">
        <v>0.50505</v>
      </c>
    </row>
    <row r="35" spans="1:7" x14ac:dyDescent="0.25">
      <c r="A35" t="s">
        <v>129</v>
      </c>
      <c r="B35" t="s">
        <v>6198</v>
      </c>
      <c r="C35" t="s">
        <v>6195</v>
      </c>
      <c r="D35">
        <v>0.5</v>
      </c>
      <c r="E35">
        <v>7.77</v>
      </c>
      <c r="F35">
        <v>1.5539999999999998</v>
      </c>
      <c r="G35">
        <v>1.0101</v>
      </c>
    </row>
    <row r="36" spans="1:7" x14ac:dyDescent="0.25">
      <c r="A36" t="s">
        <v>19</v>
      </c>
      <c r="B36" t="s">
        <v>6198</v>
      </c>
      <c r="C36" t="s">
        <v>6195</v>
      </c>
      <c r="D36">
        <v>1</v>
      </c>
      <c r="E36">
        <v>12.95</v>
      </c>
      <c r="F36">
        <v>1.2949999999999999</v>
      </c>
      <c r="G36">
        <v>1.6835</v>
      </c>
    </row>
    <row r="37" spans="1:7" x14ac:dyDescent="0.25">
      <c r="A37" t="s">
        <v>115</v>
      </c>
      <c r="B37" t="s">
        <v>6198</v>
      </c>
      <c r="C37" t="s">
        <v>6195</v>
      </c>
      <c r="D37">
        <v>2.5</v>
      </c>
      <c r="E37">
        <v>29.784999999999997</v>
      </c>
      <c r="F37">
        <v>1.1913999999999998</v>
      </c>
      <c r="G37">
        <v>3.8720499999999998</v>
      </c>
    </row>
    <row r="38" spans="1:7" x14ac:dyDescent="0.25">
      <c r="A38" t="s">
        <v>260</v>
      </c>
      <c r="B38" t="s">
        <v>6200</v>
      </c>
      <c r="C38" t="s">
        <v>6215</v>
      </c>
      <c r="D38">
        <v>0.2</v>
      </c>
      <c r="E38">
        <v>4.4550000000000001</v>
      </c>
      <c r="F38">
        <v>2.2275</v>
      </c>
      <c r="G38">
        <v>0.49004999999999999</v>
      </c>
    </row>
    <row r="39" spans="1:7" x14ac:dyDescent="0.25">
      <c r="A39" t="s">
        <v>182</v>
      </c>
      <c r="B39" t="s">
        <v>6200</v>
      </c>
      <c r="C39" t="s">
        <v>6215</v>
      </c>
      <c r="D39">
        <v>0.5</v>
      </c>
      <c r="E39">
        <v>8.91</v>
      </c>
      <c r="F39">
        <v>1.782</v>
      </c>
      <c r="G39">
        <v>0.98009999999999997</v>
      </c>
    </row>
    <row r="40" spans="1:7" x14ac:dyDescent="0.25">
      <c r="A40" t="s">
        <v>143</v>
      </c>
      <c r="B40" t="s">
        <v>6200</v>
      </c>
      <c r="C40" t="s">
        <v>6215</v>
      </c>
      <c r="D40">
        <v>1</v>
      </c>
      <c r="E40">
        <v>14.85</v>
      </c>
      <c r="F40">
        <v>1.4849999999999999</v>
      </c>
      <c r="G40">
        <v>1.6335</v>
      </c>
    </row>
    <row r="41" spans="1:7" x14ac:dyDescent="0.25">
      <c r="A41" t="s">
        <v>36</v>
      </c>
      <c r="B41" t="s">
        <v>6200</v>
      </c>
      <c r="C41" t="s">
        <v>6215</v>
      </c>
      <c r="D41">
        <v>2.5</v>
      </c>
      <c r="E41">
        <v>34.154999999999994</v>
      </c>
      <c r="F41">
        <v>1.3661999999999999</v>
      </c>
      <c r="G41">
        <v>3.7570499999999996</v>
      </c>
    </row>
    <row r="42" spans="1:7" x14ac:dyDescent="0.25">
      <c r="A42" t="s">
        <v>70</v>
      </c>
      <c r="B42" t="s">
        <v>6200</v>
      </c>
      <c r="C42" t="s">
        <v>6193</v>
      </c>
      <c r="D42">
        <v>0.2</v>
      </c>
      <c r="E42">
        <v>4.125</v>
      </c>
      <c r="F42">
        <v>2.0625</v>
      </c>
      <c r="G42">
        <v>0.45374999999999999</v>
      </c>
    </row>
    <row r="43" spans="1:7" x14ac:dyDescent="0.25">
      <c r="A43" t="s">
        <v>9</v>
      </c>
      <c r="B43" t="s">
        <v>6200</v>
      </c>
      <c r="C43" t="s">
        <v>6193</v>
      </c>
      <c r="D43">
        <v>0.5</v>
      </c>
      <c r="E43">
        <v>8.25</v>
      </c>
      <c r="F43">
        <v>1.65</v>
      </c>
      <c r="G43">
        <v>0.90749999999999997</v>
      </c>
    </row>
    <row r="44" spans="1:7" x14ac:dyDescent="0.25">
      <c r="A44" t="s">
        <v>15</v>
      </c>
      <c r="B44" t="s">
        <v>6200</v>
      </c>
      <c r="C44" t="s">
        <v>6193</v>
      </c>
      <c r="D44">
        <v>1</v>
      </c>
      <c r="E44">
        <v>13.75</v>
      </c>
      <c r="F44">
        <v>1.375</v>
      </c>
      <c r="G44">
        <v>1.5125</v>
      </c>
    </row>
    <row r="45" spans="1:7" x14ac:dyDescent="0.25">
      <c r="A45" t="s">
        <v>118</v>
      </c>
      <c r="B45" t="s">
        <v>6200</v>
      </c>
      <c r="C45" t="s">
        <v>6193</v>
      </c>
      <c r="D45">
        <v>2.5</v>
      </c>
      <c r="E45">
        <v>31.624999999999996</v>
      </c>
      <c r="F45">
        <v>1.2649999999999999</v>
      </c>
      <c r="G45">
        <v>3.4787499999999998</v>
      </c>
    </row>
    <row r="46" spans="1:7" x14ac:dyDescent="0.25">
      <c r="A46" t="s">
        <v>57</v>
      </c>
      <c r="B46" t="s">
        <v>6200</v>
      </c>
      <c r="C46" t="s">
        <v>6195</v>
      </c>
      <c r="D46">
        <v>0.2</v>
      </c>
      <c r="E46">
        <v>3.645</v>
      </c>
      <c r="F46">
        <v>1.8225</v>
      </c>
      <c r="G46">
        <v>0.40095000000000003</v>
      </c>
    </row>
    <row r="47" spans="1:7" x14ac:dyDescent="0.25">
      <c r="A47" t="s">
        <v>22</v>
      </c>
      <c r="B47" t="s">
        <v>6200</v>
      </c>
      <c r="C47" t="s">
        <v>6195</v>
      </c>
      <c r="D47">
        <v>0.5</v>
      </c>
      <c r="E47">
        <v>7.29</v>
      </c>
      <c r="F47">
        <v>1.458</v>
      </c>
      <c r="G47">
        <v>0.80190000000000006</v>
      </c>
    </row>
    <row r="48" spans="1:7" x14ac:dyDescent="0.25">
      <c r="A48" t="s">
        <v>251</v>
      </c>
      <c r="B48" t="s">
        <v>6200</v>
      </c>
      <c r="C48" t="s">
        <v>6195</v>
      </c>
      <c r="D48">
        <v>1</v>
      </c>
      <c r="E48">
        <v>12.15</v>
      </c>
      <c r="F48">
        <v>1.2150000000000001</v>
      </c>
      <c r="G48">
        <v>1.3365</v>
      </c>
    </row>
    <row r="49" spans="1:7" x14ac:dyDescent="0.25">
      <c r="A49" t="s">
        <v>536</v>
      </c>
      <c r="B49" t="s">
        <v>6200</v>
      </c>
      <c r="C49" t="s">
        <v>6195</v>
      </c>
      <c r="D49">
        <v>2.5</v>
      </c>
      <c r="E49">
        <v>27.945</v>
      </c>
      <c r="F49">
        <v>1.1177999999999999</v>
      </c>
      <c r="G49">
        <v>3.07395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7AB3-9A69-4F17-8BDB-1F8AA5A16726}">
  <dimension ref="A2:C12"/>
  <sheetViews>
    <sheetView workbookViewId="0">
      <selection activeCell="I8" sqref="I8"/>
    </sheetView>
  </sheetViews>
  <sheetFormatPr defaultRowHeight="15" x14ac:dyDescent="0.25"/>
  <sheetData>
    <row r="2" spans="1:3" x14ac:dyDescent="0.25">
      <c r="A2" t="s">
        <v>6202</v>
      </c>
      <c r="B2" t="s">
        <v>6207</v>
      </c>
    </row>
    <row r="3" spans="1:3" x14ac:dyDescent="0.25">
      <c r="A3" t="s">
        <v>6203</v>
      </c>
      <c r="B3" t="s">
        <v>6208</v>
      </c>
    </row>
    <row r="4" spans="1:3" x14ac:dyDescent="0.25">
      <c r="A4" t="s">
        <v>6204</v>
      </c>
      <c r="B4" t="s">
        <v>6205</v>
      </c>
    </row>
    <row r="5" spans="1:3" x14ac:dyDescent="0.25">
      <c r="B5" t="s">
        <v>6188</v>
      </c>
      <c r="C5" t="s">
        <v>6191</v>
      </c>
    </row>
    <row r="6" spans="1:3" x14ac:dyDescent="0.25">
      <c r="A6" t="s">
        <v>6182</v>
      </c>
      <c r="B6" t="s">
        <v>6200</v>
      </c>
      <c r="C6" t="s">
        <v>6201</v>
      </c>
    </row>
    <row r="7" spans="1:3" x14ac:dyDescent="0.25">
      <c r="B7" t="s">
        <v>6198</v>
      </c>
      <c r="C7" t="s">
        <v>6199</v>
      </c>
    </row>
    <row r="8" spans="1:3" x14ac:dyDescent="0.25">
      <c r="B8" t="s">
        <v>6196</v>
      </c>
      <c r="C8" t="s">
        <v>6197</v>
      </c>
    </row>
    <row r="10" spans="1:3" x14ac:dyDescent="0.25">
      <c r="B10" t="s">
        <v>6194</v>
      </c>
      <c r="C10" t="s">
        <v>6195</v>
      </c>
    </row>
    <row r="11" spans="1:3" x14ac:dyDescent="0.25">
      <c r="A11" t="s">
        <v>6183</v>
      </c>
      <c r="B11" t="s">
        <v>6189</v>
      </c>
      <c r="C11" t="s">
        <v>6190</v>
      </c>
    </row>
    <row r="12" spans="1:3" x14ac:dyDescent="0.25">
      <c r="B12" t="s">
        <v>6192</v>
      </c>
      <c r="C12" t="s">
        <v>6193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C0CD-A603-4476-95EF-25366D7B3BBB}">
  <dimension ref="A1:R1002"/>
  <sheetViews>
    <sheetView zoomScale="98" zoomScaleNormal="98" workbookViewId="0">
      <selection activeCell="J23" sqref="J23"/>
    </sheetView>
  </sheetViews>
  <sheetFormatPr defaultColWidth="15" defaultRowHeight="15" x14ac:dyDescent="0.25"/>
  <cols>
    <col min="1" max="1" width="15.5703125" bestFit="1" customWidth="1"/>
    <col min="2" max="2" width="10.7109375" bestFit="1" customWidth="1"/>
    <col min="3" max="3" width="5.140625" bestFit="1" customWidth="1"/>
    <col min="4" max="4" width="10.85546875" bestFit="1" customWidth="1"/>
    <col min="5" max="5" width="16.28515625" bestFit="1" customWidth="1"/>
    <col min="6" max="6" width="10.140625" bestFit="1" customWidth="1"/>
    <col min="7" max="7" width="8.7109375" bestFit="1" customWidth="1"/>
    <col min="8" max="8" width="23.7109375" bestFit="1" customWidth="1"/>
    <col min="9" max="9" width="15.42578125" bestFit="1" customWidth="1"/>
    <col min="10" max="10" width="20.7109375" bestFit="1" customWidth="1"/>
    <col min="11" max="11" width="11.7109375" bestFit="1" customWidth="1"/>
    <col min="12" max="12" width="12.28515625" bestFit="1" customWidth="1"/>
    <col min="13" max="13" width="11.28515625" bestFit="1" customWidth="1"/>
    <col min="14" max="14" width="4.5703125" bestFit="1" customWidth="1"/>
    <col min="15" max="15" width="9.7109375" bestFit="1" customWidth="1"/>
    <col min="16" max="16" width="13.42578125" bestFit="1" customWidth="1"/>
    <col min="17" max="17" width="8.140625" bestFit="1" customWidth="1"/>
    <col min="18" max="18" width="7.7109375" style="5" bestFit="1" customWidth="1"/>
  </cols>
  <sheetData>
    <row r="1" spans="1:18" x14ac:dyDescent="0.25">
      <c r="A1" t="s">
        <v>0</v>
      </c>
      <c r="B1" t="s">
        <v>1</v>
      </c>
      <c r="C1" t="s">
        <v>2</v>
      </c>
      <c r="D1" t="s">
        <v>6227</v>
      </c>
      <c r="E1" t="s">
        <v>3</v>
      </c>
      <c r="F1" t="s">
        <v>4</v>
      </c>
      <c r="G1" t="s">
        <v>5</v>
      </c>
      <c r="H1" t="s">
        <v>1924</v>
      </c>
      <c r="I1" t="s">
        <v>1929</v>
      </c>
      <c r="J1" t="s">
        <v>1928</v>
      </c>
      <c r="K1" t="s">
        <v>1931</v>
      </c>
      <c r="L1" t="s">
        <v>6214</v>
      </c>
      <c r="M1" t="s">
        <v>6216</v>
      </c>
      <c r="N1" t="s">
        <v>6184</v>
      </c>
      <c r="O1" t="s">
        <v>6185</v>
      </c>
      <c r="P1" t="s">
        <v>6186</v>
      </c>
      <c r="Q1" t="s">
        <v>6187</v>
      </c>
      <c r="R1" s="5" t="s">
        <v>6218</v>
      </c>
    </row>
    <row r="2" spans="1:18" x14ac:dyDescent="0.25">
      <c r="A2" t="s">
        <v>6</v>
      </c>
      <c r="B2" s="7">
        <v>43713</v>
      </c>
      <c r="C2" t="str">
        <f>TEXT(Table3[[#This Row],[Order Date]],"yyyy")</f>
        <v>2019</v>
      </c>
      <c r="D2" t="s">
        <v>6228</v>
      </c>
      <c r="E2" t="s">
        <v>7</v>
      </c>
      <c r="F2" t="s">
        <v>8</v>
      </c>
      <c r="G2">
        <v>2</v>
      </c>
      <c r="H2" t="s">
        <v>1933</v>
      </c>
      <c r="I2" t="s">
        <v>6210</v>
      </c>
      <c r="J2" t="s">
        <v>1937</v>
      </c>
      <c r="K2" t="s">
        <v>1938</v>
      </c>
      <c r="L2" t="s">
        <v>6211</v>
      </c>
      <c r="M2" t="s">
        <v>6193</v>
      </c>
      <c r="N2">
        <v>1</v>
      </c>
      <c r="O2">
        <v>9.9499999999999993</v>
      </c>
      <c r="P2">
        <v>0.99499999999999988</v>
      </c>
      <c r="Q2">
        <v>0.59699999999999998</v>
      </c>
      <c r="R2" s="5">
        <v>19.899999999999999</v>
      </c>
    </row>
    <row r="3" spans="1:18" x14ac:dyDescent="0.25">
      <c r="A3" t="s">
        <v>6</v>
      </c>
      <c r="B3" s="7">
        <v>43713</v>
      </c>
      <c r="C3" t="str">
        <f>TEXT(Table3[[#This Row],[Order Date]],"yyyy")</f>
        <v>2019</v>
      </c>
      <c r="D3" t="s">
        <v>6228</v>
      </c>
      <c r="E3" t="s">
        <v>7</v>
      </c>
      <c r="F3" t="s">
        <v>9</v>
      </c>
      <c r="G3">
        <v>5</v>
      </c>
      <c r="H3" t="s">
        <v>1933</v>
      </c>
      <c r="I3" t="s">
        <v>6210</v>
      </c>
      <c r="J3" t="s">
        <v>1937</v>
      </c>
      <c r="K3" t="s">
        <v>1938</v>
      </c>
      <c r="L3" t="s">
        <v>6212</v>
      </c>
      <c r="M3" t="s">
        <v>6193</v>
      </c>
      <c r="N3">
        <v>0.5</v>
      </c>
      <c r="O3">
        <v>8.25</v>
      </c>
      <c r="P3">
        <v>1.65</v>
      </c>
      <c r="Q3">
        <v>0.90749999999999997</v>
      </c>
      <c r="R3" s="5">
        <v>41.25</v>
      </c>
    </row>
    <row r="4" spans="1:18" x14ac:dyDescent="0.25">
      <c r="A4" t="s">
        <v>10</v>
      </c>
      <c r="B4" s="7">
        <v>44364</v>
      </c>
      <c r="C4" t="str">
        <f>TEXT(Table3[[#This Row],[Order Date]],"yyyy")</f>
        <v>2021</v>
      </c>
      <c r="D4" t="s">
        <v>6229</v>
      </c>
      <c r="E4" t="s">
        <v>11</v>
      </c>
      <c r="F4" t="s">
        <v>12</v>
      </c>
      <c r="G4">
        <v>1</v>
      </c>
      <c r="H4" t="s">
        <v>1948</v>
      </c>
      <c r="I4" t="s">
        <v>6210</v>
      </c>
      <c r="J4" t="s">
        <v>1952</v>
      </c>
      <c r="K4" t="s">
        <v>1938</v>
      </c>
      <c r="L4" t="s">
        <v>6213</v>
      </c>
      <c r="M4" t="s">
        <v>6215</v>
      </c>
      <c r="N4">
        <v>1</v>
      </c>
      <c r="O4">
        <v>12.95</v>
      </c>
      <c r="P4">
        <v>1.2949999999999999</v>
      </c>
      <c r="Q4">
        <v>1.1655</v>
      </c>
      <c r="R4" s="5">
        <v>12.95</v>
      </c>
    </row>
    <row r="5" spans="1:18" x14ac:dyDescent="0.25">
      <c r="A5" t="s">
        <v>13</v>
      </c>
      <c r="B5" s="7">
        <v>44392</v>
      </c>
      <c r="C5" t="str">
        <f>TEXT(Table3[[#This Row],[Order Date]],"yyyy")</f>
        <v>2021</v>
      </c>
      <c r="D5" t="s">
        <v>6230</v>
      </c>
      <c r="E5" t="s">
        <v>14</v>
      </c>
      <c r="F5" t="s">
        <v>15</v>
      </c>
      <c r="G5">
        <v>2</v>
      </c>
      <c r="H5" t="s">
        <v>1959</v>
      </c>
      <c r="I5" t="s">
        <v>1945</v>
      </c>
      <c r="J5" t="s">
        <v>1962</v>
      </c>
      <c r="K5" t="s">
        <v>1947</v>
      </c>
      <c r="L5" t="s">
        <v>6212</v>
      </c>
      <c r="M5" t="s">
        <v>6193</v>
      </c>
      <c r="N5">
        <v>1</v>
      </c>
      <c r="O5">
        <v>13.75</v>
      </c>
      <c r="P5">
        <v>1.375</v>
      </c>
      <c r="Q5">
        <v>1.5125</v>
      </c>
      <c r="R5" s="5">
        <v>27.5</v>
      </c>
    </row>
    <row r="6" spans="1:18" x14ac:dyDescent="0.25">
      <c r="A6" t="s">
        <v>13</v>
      </c>
      <c r="B6" s="7">
        <v>44392</v>
      </c>
      <c r="C6" t="str">
        <f>TEXT(Table3[[#This Row],[Order Date]],"yyyy")</f>
        <v>2021</v>
      </c>
      <c r="D6" t="s">
        <v>6230</v>
      </c>
      <c r="E6" t="s">
        <v>14</v>
      </c>
      <c r="F6" t="s">
        <v>16</v>
      </c>
      <c r="G6">
        <v>2</v>
      </c>
      <c r="H6" t="s">
        <v>1959</v>
      </c>
      <c r="I6" t="s">
        <v>1945</v>
      </c>
      <c r="J6" t="s">
        <v>1962</v>
      </c>
      <c r="K6" t="s">
        <v>1947</v>
      </c>
      <c r="L6" t="s">
        <v>6211</v>
      </c>
      <c r="M6" t="s">
        <v>6215</v>
      </c>
      <c r="N6">
        <v>2.5</v>
      </c>
      <c r="O6">
        <v>27.484999999999996</v>
      </c>
      <c r="P6">
        <v>1.0993999999999999</v>
      </c>
      <c r="Q6">
        <v>1.6490999999999998</v>
      </c>
      <c r="R6" s="5">
        <v>54.969999999999992</v>
      </c>
    </row>
    <row r="7" spans="1:18" x14ac:dyDescent="0.25">
      <c r="A7" t="s">
        <v>17</v>
      </c>
      <c r="B7" s="7">
        <v>44412</v>
      </c>
      <c r="C7" t="str">
        <f>TEXT(Table3[[#This Row],[Order Date]],"yyyy")</f>
        <v>2021</v>
      </c>
      <c r="D7" t="s">
        <v>6231</v>
      </c>
      <c r="E7" t="s">
        <v>18</v>
      </c>
      <c r="F7" t="s">
        <v>19</v>
      </c>
      <c r="G7">
        <v>3</v>
      </c>
      <c r="H7" t="s">
        <v>1964</v>
      </c>
      <c r="I7" t="s">
        <v>6210</v>
      </c>
      <c r="J7" t="s">
        <v>1967</v>
      </c>
      <c r="K7" t="s">
        <v>1947</v>
      </c>
      <c r="L7" t="s">
        <v>6199</v>
      </c>
      <c r="M7" t="s">
        <v>6195</v>
      </c>
      <c r="N7">
        <v>1</v>
      </c>
      <c r="O7">
        <v>12.95</v>
      </c>
      <c r="P7">
        <v>1.2949999999999999</v>
      </c>
      <c r="Q7">
        <v>1.6835</v>
      </c>
      <c r="R7" s="5">
        <v>38.849999999999994</v>
      </c>
    </row>
    <row r="8" spans="1:18" x14ac:dyDescent="0.25">
      <c r="A8" t="s">
        <v>20</v>
      </c>
      <c r="B8" s="7">
        <v>44582</v>
      </c>
      <c r="C8" t="str">
        <f>TEXT(Table3[[#This Row],[Order Date]],"yyyy")</f>
        <v>2022</v>
      </c>
      <c r="D8" t="s">
        <v>6232</v>
      </c>
      <c r="E8" t="s">
        <v>21</v>
      </c>
      <c r="F8" t="s">
        <v>22</v>
      </c>
      <c r="G8">
        <v>3</v>
      </c>
      <c r="H8" t="s">
        <v>1968</v>
      </c>
      <c r="I8" t="s">
        <v>6210</v>
      </c>
      <c r="J8" t="s">
        <v>1972</v>
      </c>
      <c r="K8" t="s">
        <v>1938</v>
      </c>
      <c r="L8" t="s">
        <v>6212</v>
      </c>
      <c r="M8" t="s">
        <v>6195</v>
      </c>
      <c r="N8">
        <v>0.5</v>
      </c>
      <c r="O8">
        <v>7.29</v>
      </c>
      <c r="P8">
        <v>1.458</v>
      </c>
      <c r="Q8">
        <v>0.80190000000000006</v>
      </c>
      <c r="R8" s="5">
        <v>21.87</v>
      </c>
    </row>
    <row r="9" spans="1:18" x14ac:dyDescent="0.25">
      <c r="A9" t="s">
        <v>23</v>
      </c>
      <c r="B9" s="7">
        <v>44701</v>
      </c>
      <c r="C9" t="str">
        <f>TEXT(Table3[[#This Row],[Order Date]],"yyyy")</f>
        <v>2022</v>
      </c>
      <c r="D9" t="s">
        <v>6233</v>
      </c>
      <c r="E9" t="s">
        <v>24</v>
      </c>
      <c r="F9" t="s">
        <v>25</v>
      </c>
      <c r="G9">
        <v>1</v>
      </c>
      <c r="H9" t="s">
        <v>1973</v>
      </c>
      <c r="I9" t="s">
        <v>1945</v>
      </c>
      <c r="J9" t="s">
        <v>1976</v>
      </c>
      <c r="K9" t="s">
        <v>1938</v>
      </c>
      <c r="L9" t="s">
        <v>6199</v>
      </c>
      <c r="M9" t="s">
        <v>6215</v>
      </c>
      <c r="N9">
        <v>0.2</v>
      </c>
      <c r="O9">
        <v>4.7549999999999999</v>
      </c>
      <c r="P9">
        <v>2.3774999999999999</v>
      </c>
      <c r="Q9">
        <v>0.61814999999999998</v>
      </c>
      <c r="R9" s="5">
        <v>4.7549999999999999</v>
      </c>
    </row>
    <row r="10" spans="1:18" x14ac:dyDescent="0.25">
      <c r="A10" t="s">
        <v>26</v>
      </c>
      <c r="B10" s="7">
        <v>43467</v>
      </c>
      <c r="C10" t="str">
        <f>TEXT(Table3[[#This Row],[Order Date]],"yyyy")</f>
        <v>2019</v>
      </c>
      <c r="D10" t="s">
        <v>6232</v>
      </c>
      <c r="E10" t="s">
        <v>27</v>
      </c>
      <c r="F10" t="s">
        <v>28</v>
      </c>
      <c r="G10">
        <v>3</v>
      </c>
      <c r="H10" t="s">
        <v>1978</v>
      </c>
      <c r="I10" t="s">
        <v>6210</v>
      </c>
      <c r="J10" t="s">
        <v>1982</v>
      </c>
      <c r="K10" t="s">
        <v>1947</v>
      </c>
      <c r="L10" t="s">
        <v>6211</v>
      </c>
      <c r="M10" t="s">
        <v>6193</v>
      </c>
      <c r="N10">
        <v>0.5</v>
      </c>
      <c r="O10">
        <v>5.97</v>
      </c>
      <c r="P10">
        <v>1.194</v>
      </c>
      <c r="Q10">
        <v>0.35819999999999996</v>
      </c>
      <c r="R10" s="5">
        <v>17.91</v>
      </c>
    </row>
    <row r="11" spans="1:18" x14ac:dyDescent="0.25">
      <c r="A11" t="s">
        <v>29</v>
      </c>
      <c r="B11" s="7">
        <v>43713</v>
      </c>
      <c r="C11" t="str">
        <f>TEXT(Table3[[#This Row],[Order Date]],"yyyy")</f>
        <v>2019</v>
      </c>
      <c r="D11" t="s">
        <v>6228</v>
      </c>
      <c r="E11" t="s">
        <v>30</v>
      </c>
      <c r="F11" t="s">
        <v>28</v>
      </c>
      <c r="G11">
        <v>1</v>
      </c>
      <c r="H11" t="s">
        <v>1983</v>
      </c>
      <c r="I11" t="s">
        <v>6210</v>
      </c>
      <c r="J11" t="s">
        <v>1982</v>
      </c>
      <c r="K11" t="s">
        <v>1947</v>
      </c>
      <c r="L11" t="s">
        <v>6211</v>
      </c>
      <c r="M11" t="s">
        <v>6193</v>
      </c>
      <c r="N11">
        <v>0.5</v>
      </c>
      <c r="O11">
        <v>5.97</v>
      </c>
      <c r="P11">
        <v>1.194</v>
      </c>
      <c r="Q11">
        <v>0.35819999999999996</v>
      </c>
      <c r="R11" s="5">
        <v>5.97</v>
      </c>
    </row>
    <row r="12" spans="1:18" x14ac:dyDescent="0.25">
      <c r="A12" t="s">
        <v>31</v>
      </c>
      <c r="B12" s="7">
        <v>44263</v>
      </c>
      <c r="C12" t="str">
        <f>TEXT(Table3[[#This Row],[Order Date]],"yyyy")</f>
        <v>2021</v>
      </c>
      <c r="D12" t="s">
        <v>6234</v>
      </c>
      <c r="E12" t="s">
        <v>32</v>
      </c>
      <c r="F12" t="s">
        <v>33</v>
      </c>
      <c r="G12">
        <v>4</v>
      </c>
      <c r="H12" t="s">
        <v>1987</v>
      </c>
      <c r="I12" t="s">
        <v>6210</v>
      </c>
      <c r="J12" t="s">
        <v>1991</v>
      </c>
      <c r="K12" t="s">
        <v>1947</v>
      </c>
      <c r="L12" t="s">
        <v>6213</v>
      </c>
      <c r="M12" t="s">
        <v>6195</v>
      </c>
      <c r="N12">
        <v>1</v>
      </c>
      <c r="O12">
        <v>9.9499999999999993</v>
      </c>
      <c r="P12">
        <v>0.99499999999999988</v>
      </c>
      <c r="Q12">
        <v>0.89549999999999985</v>
      </c>
      <c r="R12" s="5">
        <v>39.799999999999997</v>
      </c>
    </row>
    <row r="13" spans="1:18" x14ac:dyDescent="0.25">
      <c r="A13" t="s">
        <v>34</v>
      </c>
      <c r="B13" s="7">
        <v>44132</v>
      </c>
      <c r="C13" t="str">
        <f>TEXT(Table3[[#This Row],[Order Date]],"yyyy")</f>
        <v>2020</v>
      </c>
      <c r="D13" t="s">
        <v>6235</v>
      </c>
      <c r="E13" t="s">
        <v>35</v>
      </c>
      <c r="F13" t="s">
        <v>36</v>
      </c>
      <c r="G13">
        <v>5</v>
      </c>
      <c r="H13" t="s">
        <v>1992</v>
      </c>
      <c r="I13" t="s">
        <v>6210</v>
      </c>
      <c r="J13" t="s">
        <v>1991</v>
      </c>
      <c r="K13" t="s">
        <v>1938</v>
      </c>
      <c r="L13" t="s">
        <v>6212</v>
      </c>
      <c r="M13" t="s">
        <v>6215</v>
      </c>
      <c r="N13">
        <v>2.5</v>
      </c>
      <c r="O13">
        <v>34.154999999999994</v>
      </c>
      <c r="P13">
        <v>1.3661999999999999</v>
      </c>
      <c r="Q13">
        <v>3.7570499999999996</v>
      </c>
      <c r="R13" s="5">
        <v>170.77499999999998</v>
      </c>
    </row>
    <row r="14" spans="1:18" x14ac:dyDescent="0.25">
      <c r="A14" t="s">
        <v>37</v>
      </c>
      <c r="B14" s="7">
        <v>44744</v>
      </c>
      <c r="C14" t="str">
        <f>TEXT(Table3[[#This Row],[Order Date]],"yyyy")</f>
        <v>2022</v>
      </c>
      <c r="D14" t="s">
        <v>6230</v>
      </c>
      <c r="E14" t="s">
        <v>38</v>
      </c>
      <c r="F14" t="s">
        <v>8</v>
      </c>
      <c r="G14">
        <v>5</v>
      </c>
      <c r="H14" t="s">
        <v>1996</v>
      </c>
      <c r="I14" t="s">
        <v>6210</v>
      </c>
      <c r="J14" t="s">
        <v>2000</v>
      </c>
      <c r="K14" t="s">
        <v>1947</v>
      </c>
      <c r="L14" t="s">
        <v>6211</v>
      </c>
      <c r="M14" t="s">
        <v>6193</v>
      </c>
      <c r="N14">
        <v>1</v>
      </c>
      <c r="O14">
        <v>9.9499999999999993</v>
      </c>
      <c r="P14">
        <v>0.99499999999999988</v>
      </c>
      <c r="Q14">
        <v>0.59699999999999998</v>
      </c>
      <c r="R14" s="5">
        <v>49.75</v>
      </c>
    </row>
    <row r="15" spans="1:18" x14ac:dyDescent="0.25">
      <c r="A15" t="s">
        <v>39</v>
      </c>
      <c r="B15" s="7">
        <v>43973</v>
      </c>
      <c r="C15" t="str">
        <f>TEXT(Table3[[#This Row],[Order Date]],"yyyy")</f>
        <v>2020</v>
      </c>
      <c r="D15" t="s">
        <v>6233</v>
      </c>
      <c r="E15" t="s">
        <v>40</v>
      </c>
      <c r="F15" t="s">
        <v>41</v>
      </c>
      <c r="G15">
        <v>2</v>
      </c>
      <c r="H15" t="s">
        <v>2001</v>
      </c>
      <c r="I15" t="s">
        <v>6210</v>
      </c>
      <c r="J15" t="s">
        <v>2004</v>
      </c>
      <c r="K15" t="s">
        <v>1947</v>
      </c>
      <c r="L15" t="s">
        <v>6211</v>
      </c>
      <c r="M15" t="s">
        <v>6195</v>
      </c>
      <c r="N15">
        <v>2.5</v>
      </c>
      <c r="O15">
        <v>20.584999999999997</v>
      </c>
      <c r="P15">
        <v>0.82339999999999991</v>
      </c>
      <c r="Q15">
        <v>1.2350999999999999</v>
      </c>
      <c r="R15" s="5">
        <v>41.169999999999995</v>
      </c>
    </row>
    <row r="16" spans="1:18" x14ac:dyDescent="0.25">
      <c r="A16" t="s">
        <v>42</v>
      </c>
      <c r="B16" s="7">
        <v>44656</v>
      </c>
      <c r="C16" t="str">
        <f>TEXT(Table3[[#This Row],[Order Date]],"yyyy")</f>
        <v>2022</v>
      </c>
      <c r="D16" t="s">
        <v>6236</v>
      </c>
      <c r="E16" t="s">
        <v>43</v>
      </c>
      <c r="F16" t="s">
        <v>44</v>
      </c>
      <c r="G16">
        <v>3</v>
      </c>
      <c r="H16" t="s">
        <v>2005</v>
      </c>
      <c r="I16" t="s">
        <v>6210</v>
      </c>
      <c r="J16" t="s">
        <v>2009</v>
      </c>
      <c r="K16" t="s">
        <v>1938</v>
      </c>
      <c r="L16" t="s">
        <v>6199</v>
      </c>
      <c r="M16" t="s">
        <v>6195</v>
      </c>
      <c r="N16">
        <v>0.2</v>
      </c>
      <c r="O16">
        <v>3.8849999999999998</v>
      </c>
      <c r="P16">
        <v>1.9424999999999999</v>
      </c>
      <c r="Q16">
        <v>0.50505</v>
      </c>
      <c r="R16" s="5">
        <v>11.654999999999999</v>
      </c>
    </row>
    <row r="17" spans="1:18" x14ac:dyDescent="0.25">
      <c r="A17" t="s">
        <v>45</v>
      </c>
      <c r="B17" s="7">
        <v>44719</v>
      </c>
      <c r="C17" t="str">
        <f>TEXT(Table3[[#This Row],[Order Date]],"yyyy")</f>
        <v>2022</v>
      </c>
      <c r="D17" t="s">
        <v>6229</v>
      </c>
      <c r="E17" t="s">
        <v>46</v>
      </c>
      <c r="F17" t="s">
        <v>47</v>
      </c>
      <c r="G17">
        <v>5</v>
      </c>
      <c r="H17" t="s">
        <v>2010</v>
      </c>
      <c r="I17" t="s">
        <v>6210</v>
      </c>
      <c r="J17" t="s">
        <v>2013</v>
      </c>
      <c r="K17" t="s">
        <v>1947</v>
      </c>
      <c r="L17" t="s">
        <v>6211</v>
      </c>
      <c r="M17" t="s">
        <v>6193</v>
      </c>
      <c r="N17">
        <v>2.5</v>
      </c>
      <c r="O17">
        <v>22.884999999999998</v>
      </c>
      <c r="P17">
        <v>0.91539999999999988</v>
      </c>
      <c r="Q17">
        <v>1.3730999999999998</v>
      </c>
      <c r="R17" s="5">
        <v>114.42499999999998</v>
      </c>
    </row>
    <row r="18" spans="1:18" x14ac:dyDescent="0.25">
      <c r="A18" t="s">
        <v>48</v>
      </c>
      <c r="B18" s="7">
        <v>43544</v>
      </c>
      <c r="C18" t="str">
        <f>TEXT(Table3[[#This Row],[Order Date]],"yyyy")</f>
        <v>2019</v>
      </c>
      <c r="D18" t="s">
        <v>6234</v>
      </c>
      <c r="E18" t="s">
        <v>49</v>
      </c>
      <c r="F18" t="s">
        <v>50</v>
      </c>
      <c r="G18">
        <v>6</v>
      </c>
      <c r="H18" t="s">
        <v>2014</v>
      </c>
      <c r="I18" t="s">
        <v>6210</v>
      </c>
      <c r="J18" t="s">
        <v>2018</v>
      </c>
      <c r="K18" t="s">
        <v>1947</v>
      </c>
      <c r="L18" t="s">
        <v>6213</v>
      </c>
      <c r="M18" t="s">
        <v>6193</v>
      </c>
      <c r="N18">
        <v>0.2</v>
      </c>
      <c r="O18">
        <v>3.375</v>
      </c>
      <c r="P18">
        <v>1.6875</v>
      </c>
      <c r="Q18">
        <v>0.30374999999999996</v>
      </c>
      <c r="R18" s="5">
        <v>20.25</v>
      </c>
    </row>
    <row r="19" spans="1:18" x14ac:dyDescent="0.25">
      <c r="A19" t="s">
        <v>51</v>
      </c>
      <c r="B19" s="7">
        <v>43757</v>
      </c>
      <c r="C19" t="str">
        <f>TEXT(Table3[[#This Row],[Order Date]],"yyyy")</f>
        <v>2019</v>
      </c>
      <c r="D19" t="s">
        <v>6235</v>
      </c>
      <c r="E19" t="s">
        <v>52</v>
      </c>
      <c r="F19" t="s">
        <v>12</v>
      </c>
      <c r="G19">
        <v>6</v>
      </c>
      <c r="H19" t="s">
        <v>2019</v>
      </c>
      <c r="I19" t="s">
        <v>6210</v>
      </c>
      <c r="J19" t="s">
        <v>2023</v>
      </c>
      <c r="K19" t="s">
        <v>1947</v>
      </c>
      <c r="L19" t="s">
        <v>6213</v>
      </c>
      <c r="M19" t="s">
        <v>6215</v>
      </c>
      <c r="N19">
        <v>1</v>
      </c>
      <c r="O19">
        <v>12.95</v>
      </c>
      <c r="P19">
        <v>1.2949999999999999</v>
      </c>
      <c r="Q19">
        <v>1.1655</v>
      </c>
      <c r="R19" s="5">
        <v>77.699999999999989</v>
      </c>
    </row>
    <row r="20" spans="1:18" x14ac:dyDescent="0.25">
      <c r="A20" t="s">
        <v>53</v>
      </c>
      <c r="B20" s="7">
        <v>43629</v>
      </c>
      <c r="C20" t="str">
        <f>TEXT(Table3[[#This Row],[Order Date]],"yyyy")</f>
        <v>2019</v>
      </c>
      <c r="D20" t="s">
        <v>6229</v>
      </c>
      <c r="E20" t="s">
        <v>54</v>
      </c>
      <c r="F20" t="s">
        <v>41</v>
      </c>
      <c r="G20">
        <v>4</v>
      </c>
      <c r="H20" t="s">
        <v>2024</v>
      </c>
      <c r="I20" t="s">
        <v>1945</v>
      </c>
      <c r="J20" t="s">
        <v>2027</v>
      </c>
      <c r="K20" t="s">
        <v>1938</v>
      </c>
      <c r="L20" t="s">
        <v>6211</v>
      </c>
      <c r="M20" t="s">
        <v>6195</v>
      </c>
      <c r="N20">
        <v>2.5</v>
      </c>
      <c r="O20">
        <v>20.584999999999997</v>
      </c>
      <c r="P20">
        <v>0.82339999999999991</v>
      </c>
      <c r="Q20">
        <v>1.2350999999999999</v>
      </c>
      <c r="R20" s="5">
        <v>82.339999999999989</v>
      </c>
    </row>
    <row r="21" spans="1:18" x14ac:dyDescent="0.25">
      <c r="A21" t="s">
        <v>55</v>
      </c>
      <c r="B21" s="7">
        <v>44169</v>
      </c>
      <c r="C21" t="str">
        <f>TEXT(Table3[[#This Row],[Order Date]],"yyyy")</f>
        <v>2020</v>
      </c>
      <c r="D21" t="s">
        <v>6237</v>
      </c>
      <c r="E21" t="s">
        <v>56</v>
      </c>
      <c r="F21" t="s">
        <v>50</v>
      </c>
      <c r="G21">
        <v>5</v>
      </c>
      <c r="H21" t="s">
        <v>2029</v>
      </c>
      <c r="I21" t="s">
        <v>6210</v>
      </c>
      <c r="J21" t="s">
        <v>2033</v>
      </c>
      <c r="K21" t="s">
        <v>1938</v>
      </c>
      <c r="L21" t="s">
        <v>6213</v>
      </c>
      <c r="M21" t="s">
        <v>6193</v>
      </c>
      <c r="N21">
        <v>0.2</v>
      </c>
      <c r="O21">
        <v>3.375</v>
      </c>
      <c r="P21">
        <v>1.6875</v>
      </c>
      <c r="Q21">
        <v>0.30374999999999996</v>
      </c>
      <c r="R21" s="5">
        <v>16.875</v>
      </c>
    </row>
    <row r="22" spans="1:18" x14ac:dyDescent="0.25">
      <c r="A22" t="s">
        <v>55</v>
      </c>
      <c r="B22" s="7">
        <v>44169</v>
      </c>
      <c r="C22" t="str">
        <f>TEXT(Table3[[#This Row],[Order Date]],"yyyy")</f>
        <v>2020</v>
      </c>
      <c r="D22" t="s">
        <v>6237</v>
      </c>
      <c r="E22" t="s">
        <v>56</v>
      </c>
      <c r="F22" t="s">
        <v>57</v>
      </c>
      <c r="G22">
        <v>4</v>
      </c>
      <c r="H22" t="s">
        <v>2029</v>
      </c>
      <c r="I22" t="s">
        <v>6210</v>
      </c>
      <c r="J22" t="s">
        <v>2033</v>
      </c>
      <c r="K22" t="s">
        <v>1938</v>
      </c>
      <c r="L22" t="s">
        <v>6212</v>
      </c>
      <c r="M22" t="s">
        <v>6195</v>
      </c>
      <c r="N22">
        <v>0.2</v>
      </c>
      <c r="O22">
        <v>3.645</v>
      </c>
      <c r="P22">
        <v>1.8225</v>
      </c>
      <c r="Q22">
        <v>0.40095000000000003</v>
      </c>
      <c r="R22" s="5">
        <v>14.58</v>
      </c>
    </row>
    <row r="23" spans="1:18" x14ac:dyDescent="0.25">
      <c r="A23" t="s">
        <v>58</v>
      </c>
      <c r="B23" s="7">
        <v>44169</v>
      </c>
      <c r="C23" t="str">
        <f>TEXT(Table3[[#This Row],[Order Date]],"yyyy")</f>
        <v>2020</v>
      </c>
      <c r="D23" t="s">
        <v>6237</v>
      </c>
      <c r="E23" t="s">
        <v>59</v>
      </c>
      <c r="F23" t="s">
        <v>60</v>
      </c>
      <c r="G23">
        <v>6</v>
      </c>
      <c r="H23" t="s">
        <v>2040</v>
      </c>
      <c r="I23" t="s">
        <v>6210</v>
      </c>
      <c r="J23" t="s">
        <v>2044</v>
      </c>
      <c r="K23" t="s">
        <v>1947</v>
      </c>
      <c r="L23" t="s">
        <v>6213</v>
      </c>
      <c r="M23" t="s">
        <v>6195</v>
      </c>
      <c r="N23">
        <v>0.2</v>
      </c>
      <c r="O23">
        <v>2.9849999999999999</v>
      </c>
      <c r="P23">
        <v>1.4924999999999999</v>
      </c>
      <c r="Q23">
        <v>0.26865</v>
      </c>
      <c r="R23" s="5">
        <v>17.91</v>
      </c>
    </row>
    <row r="24" spans="1:18" x14ac:dyDescent="0.25">
      <c r="A24" t="s">
        <v>61</v>
      </c>
      <c r="B24" s="7">
        <v>44218</v>
      </c>
      <c r="C24" t="str">
        <f>TEXT(Table3[[#This Row],[Order Date]],"yyyy")</f>
        <v>2021</v>
      </c>
      <c r="D24" t="s">
        <v>6232</v>
      </c>
      <c r="E24" t="s">
        <v>62</v>
      </c>
      <c r="F24" t="s">
        <v>47</v>
      </c>
      <c r="G24">
        <v>4</v>
      </c>
      <c r="H24" t="s">
        <v>2045</v>
      </c>
      <c r="I24" t="s">
        <v>6210</v>
      </c>
      <c r="J24" t="s">
        <v>2049</v>
      </c>
      <c r="K24" t="s">
        <v>1938</v>
      </c>
      <c r="L24" t="s">
        <v>6211</v>
      </c>
      <c r="M24" t="s">
        <v>6193</v>
      </c>
      <c r="N24">
        <v>2.5</v>
      </c>
      <c r="O24">
        <v>22.884999999999998</v>
      </c>
      <c r="P24">
        <v>0.91539999999999988</v>
      </c>
      <c r="Q24">
        <v>1.3730999999999998</v>
      </c>
      <c r="R24" s="5">
        <v>91.539999999999992</v>
      </c>
    </row>
    <row r="25" spans="1:18" x14ac:dyDescent="0.25">
      <c r="A25" t="s">
        <v>63</v>
      </c>
      <c r="B25" s="7">
        <v>44603</v>
      </c>
      <c r="C25" t="str">
        <f>TEXT(Table3[[#This Row],[Order Date]],"yyyy")</f>
        <v>2022</v>
      </c>
      <c r="D25" t="s">
        <v>6238</v>
      </c>
      <c r="E25" t="s">
        <v>64</v>
      </c>
      <c r="F25" t="s">
        <v>60</v>
      </c>
      <c r="G25">
        <v>4</v>
      </c>
      <c r="H25" t="s">
        <v>2050</v>
      </c>
      <c r="I25" t="s">
        <v>6210</v>
      </c>
      <c r="J25" t="s">
        <v>2054</v>
      </c>
      <c r="K25" t="s">
        <v>1938</v>
      </c>
      <c r="L25" t="s">
        <v>6213</v>
      </c>
      <c r="M25" t="s">
        <v>6195</v>
      </c>
      <c r="N25">
        <v>0.2</v>
      </c>
      <c r="O25">
        <v>2.9849999999999999</v>
      </c>
      <c r="P25">
        <v>1.4924999999999999</v>
      </c>
      <c r="Q25">
        <v>0.26865</v>
      </c>
      <c r="R25" s="5">
        <v>11.94</v>
      </c>
    </row>
    <row r="26" spans="1:18" x14ac:dyDescent="0.25">
      <c r="A26" t="s">
        <v>65</v>
      </c>
      <c r="B26" s="7">
        <v>44454</v>
      </c>
      <c r="C26" t="str">
        <f>TEXT(Table3[[#This Row],[Order Date]],"yyyy")</f>
        <v>2021</v>
      </c>
      <c r="D26" t="s">
        <v>6228</v>
      </c>
      <c r="E26" t="s">
        <v>66</v>
      </c>
      <c r="F26" t="s">
        <v>67</v>
      </c>
      <c r="G26">
        <v>1</v>
      </c>
      <c r="H26" t="s">
        <v>2055</v>
      </c>
      <c r="I26" t="s">
        <v>6210</v>
      </c>
      <c r="J26" t="s">
        <v>2059</v>
      </c>
      <c r="K26" t="s">
        <v>1947</v>
      </c>
      <c r="L26" t="s">
        <v>6213</v>
      </c>
      <c r="M26" t="s">
        <v>6193</v>
      </c>
      <c r="N26">
        <v>1</v>
      </c>
      <c r="O26">
        <v>11.25</v>
      </c>
      <c r="P26">
        <v>1.125</v>
      </c>
      <c r="Q26">
        <v>1.0125</v>
      </c>
      <c r="R26" s="5">
        <v>11.25</v>
      </c>
    </row>
    <row r="27" spans="1:18" x14ac:dyDescent="0.25">
      <c r="A27" t="s">
        <v>68</v>
      </c>
      <c r="B27" s="7">
        <v>44128</v>
      </c>
      <c r="C27" t="str">
        <f>TEXT(Table3[[#This Row],[Order Date]],"yyyy")</f>
        <v>2020</v>
      </c>
      <c r="D27" t="s">
        <v>6235</v>
      </c>
      <c r="E27" t="s">
        <v>69</v>
      </c>
      <c r="F27" t="s">
        <v>70</v>
      </c>
      <c r="G27">
        <v>3</v>
      </c>
      <c r="H27" t="s">
        <v>2060</v>
      </c>
      <c r="I27" t="s">
        <v>6210</v>
      </c>
      <c r="J27" t="s">
        <v>2049</v>
      </c>
      <c r="K27" t="s">
        <v>1938</v>
      </c>
      <c r="L27" t="s">
        <v>6212</v>
      </c>
      <c r="M27" t="s">
        <v>6193</v>
      </c>
      <c r="N27">
        <v>0.2</v>
      </c>
      <c r="O27">
        <v>4.125</v>
      </c>
      <c r="P27">
        <v>2.0625</v>
      </c>
      <c r="Q27">
        <v>0.45374999999999999</v>
      </c>
      <c r="R27" s="5">
        <v>12.375</v>
      </c>
    </row>
    <row r="28" spans="1:18" x14ac:dyDescent="0.25">
      <c r="A28" t="s">
        <v>71</v>
      </c>
      <c r="B28" s="7">
        <v>43516</v>
      </c>
      <c r="C28" t="str">
        <f>TEXT(Table3[[#This Row],[Order Date]],"yyyy")</f>
        <v>2019</v>
      </c>
      <c r="D28" t="s">
        <v>6238</v>
      </c>
      <c r="E28" t="s">
        <v>72</v>
      </c>
      <c r="F28" t="s">
        <v>73</v>
      </c>
      <c r="G28">
        <v>4</v>
      </c>
      <c r="H28" t="s">
        <v>2063</v>
      </c>
      <c r="I28" t="s">
        <v>6210</v>
      </c>
      <c r="J28" t="s">
        <v>2067</v>
      </c>
      <c r="K28" t="s">
        <v>1938</v>
      </c>
      <c r="L28" t="s">
        <v>6213</v>
      </c>
      <c r="M28" t="s">
        <v>6193</v>
      </c>
      <c r="N28">
        <v>0.5</v>
      </c>
      <c r="O28">
        <v>6.75</v>
      </c>
      <c r="P28">
        <v>1.35</v>
      </c>
      <c r="Q28">
        <v>0.60749999999999993</v>
      </c>
      <c r="R28" s="5">
        <v>27</v>
      </c>
    </row>
    <row r="29" spans="1:18" x14ac:dyDescent="0.25">
      <c r="A29" t="s">
        <v>74</v>
      </c>
      <c r="B29" s="7">
        <v>43746</v>
      </c>
      <c r="C29" t="str">
        <f>TEXT(Table3[[#This Row],[Order Date]],"yyyy")</f>
        <v>2019</v>
      </c>
      <c r="D29" t="s">
        <v>6235</v>
      </c>
      <c r="E29" t="s">
        <v>75</v>
      </c>
      <c r="F29" t="s">
        <v>50</v>
      </c>
      <c r="G29">
        <v>5</v>
      </c>
      <c r="H29" t="s">
        <v>2068</v>
      </c>
      <c r="I29" t="s">
        <v>1945</v>
      </c>
      <c r="J29" t="s">
        <v>2072</v>
      </c>
      <c r="K29" t="s">
        <v>1947</v>
      </c>
      <c r="L29" t="s">
        <v>6213</v>
      </c>
      <c r="M29" t="s">
        <v>6193</v>
      </c>
      <c r="N29">
        <v>0.2</v>
      </c>
      <c r="O29">
        <v>3.375</v>
      </c>
      <c r="P29">
        <v>1.6875</v>
      </c>
      <c r="Q29">
        <v>0.30374999999999996</v>
      </c>
      <c r="R29" s="5">
        <v>16.875</v>
      </c>
    </row>
    <row r="30" spans="1:18" x14ac:dyDescent="0.25">
      <c r="A30" t="s">
        <v>76</v>
      </c>
      <c r="B30" s="7">
        <v>44775</v>
      </c>
      <c r="C30" t="str">
        <f>TEXT(Table3[[#This Row],[Order Date]],"yyyy")</f>
        <v>2022</v>
      </c>
      <c r="D30" t="s">
        <v>6231</v>
      </c>
      <c r="E30" t="s">
        <v>77</v>
      </c>
      <c r="F30" t="s">
        <v>78</v>
      </c>
      <c r="G30">
        <v>3</v>
      </c>
      <c r="H30" t="s">
        <v>2074</v>
      </c>
      <c r="I30" t="s">
        <v>1945</v>
      </c>
      <c r="J30" t="s">
        <v>2078</v>
      </c>
      <c r="K30" t="s">
        <v>1947</v>
      </c>
      <c r="L30" t="s">
        <v>6213</v>
      </c>
      <c r="M30" t="s">
        <v>6195</v>
      </c>
      <c r="N30">
        <v>0.5</v>
      </c>
      <c r="O30">
        <v>5.97</v>
      </c>
      <c r="P30">
        <v>1.194</v>
      </c>
      <c r="Q30">
        <v>0.5373</v>
      </c>
      <c r="R30" s="5">
        <v>17.91</v>
      </c>
    </row>
    <row r="31" spans="1:18" x14ac:dyDescent="0.25">
      <c r="A31" t="s">
        <v>79</v>
      </c>
      <c r="B31" s="7">
        <v>43516</v>
      </c>
      <c r="C31" t="str">
        <f>TEXT(Table3[[#This Row],[Order Date]],"yyyy")</f>
        <v>2019</v>
      </c>
      <c r="D31" t="s">
        <v>6238</v>
      </c>
      <c r="E31" t="s">
        <v>80</v>
      </c>
      <c r="F31" t="s">
        <v>33</v>
      </c>
      <c r="G31">
        <v>4</v>
      </c>
      <c r="H31" t="s">
        <v>2080</v>
      </c>
      <c r="I31" t="s">
        <v>1945</v>
      </c>
      <c r="J31" t="s">
        <v>2084</v>
      </c>
      <c r="K31" t="s">
        <v>1938</v>
      </c>
      <c r="L31" t="s">
        <v>6213</v>
      </c>
      <c r="M31" t="s">
        <v>6195</v>
      </c>
      <c r="N31">
        <v>1</v>
      </c>
      <c r="O31">
        <v>9.9499999999999993</v>
      </c>
      <c r="P31">
        <v>0.99499999999999988</v>
      </c>
      <c r="Q31">
        <v>0.89549999999999985</v>
      </c>
      <c r="R31" s="5">
        <v>39.799999999999997</v>
      </c>
    </row>
    <row r="32" spans="1:18" x14ac:dyDescent="0.25">
      <c r="A32" t="s">
        <v>81</v>
      </c>
      <c r="B32" s="7">
        <v>44464</v>
      </c>
      <c r="C32" t="str">
        <f>TEXT(Table3[[#This Row],[Order Date]],"yyyy")</f>
        <v>2021</v>
      </c>
      <c r="D32" t="s">
        <v>6228</v>
      </c>
      <c r="E32" t="s">
        <v>82</v>
      </c>
      <c r="F32" t="s">
        <v>83</v>
      </c>
      <c r="G32">
        <v>5</v>
      </c>
      <c r="H32" t="s">
        <v>2086</v>
      </c>
      <c r="I32" t="s">
        <v>6210</v>
      </c>
      <c r="J32" t="s">
        <v>2089</v>
      </c>
      <c r="K32" t="s">
        <v>1947</v>
      </c>
      <c r="L32" t="s">
        <v>6199</v>
      </c>
      <c r="M32" t="s">
        <v>6193</v>
      </c>
      <c r="N32">
        <v>0.2</v>
      </c>
      <c r="O32">
        <v>4.3650000000000002</v>
      </c>
      <c r="P32">
        <v>2.1825000000000001</v>
      </c>
      <c r="Q32">
        <v>0.56745000000000001</v>
      </c>
      <c r="R32" s="5">
        <v>21.825000000000003</v>
      </c>
    </row>
    <row r="33" spans="1:18" x14ac:dyDescent="0.25">
      <c r="A33" t="s">
        <v>81</v>
      </c>
      <c r="B33" s="7">
        <v>44464</v>
      </c>
      <c r="C33" t="str">
        <f>TEXT(Table3[[#This Row],[Order Date]],"yyyy")</f>
        <v>2021</v>
      </c>
      <c r="D33" t="s">
        <v>6228</v>
      </c>
      <c r="E33" t="s">
        <v>82</v>
      </c>
      <c r="F33" t="s">
        <v>78</v>
      </c>
      <c r="G33">
        <v>6</v>
      </c>
      <c r="H33" t="s">
        <v>2086</v>
      </c>
      <c r="I33" t="s">
        <v>6210</v>
      </c>
      <c r="J33" t="s">
        <v>2089</v>
      </c>
      <c r="K33" t="s">
        <v>1947</v>
      </c>
      <c r="L33" t="s">
        <v>6213</v>
      </c>
      <c r="M33" t="s">
        <v>6195</v>
      </c>
      <c r="N33">
        <v>0.5</v>
      </c>
      <c r="O33">
        <v>5.97</v>
      </c>
      <c r="P33">
        <v>1.194</v>
      </c>
      <c r="Q33">
        <v>0.5373</v>
      </c>
      <c r="R33" s="5">
        <v>35.82</v>
      </c>
    </row>
    <row r="34" spans="1:18" x14ac:dyDescent="0.25">
      <c r="A34" t="s">
        <v>81</v>
      </c>
      <c r="B34" s="7">
        <v>44464</v>
      </c>
      <c r="C34" t="str">
        <f>TEXT(Table3[[#This Row],[Order Date]],"yyyy")</f>
        <v>2021</v>
      </c>
      <c r="D34" t="s">
        <v>6228</v>
      </c>
      <c r="E34" t="s">
        <v>82</v>
      </c>
      <c r="F34" t="s">
        <v>84</v>
      </c>
      <c r="G34">
        <v>6</v>
      </c>
      <c r="H34" t="s">
        <v>2086</v>
      </c>
      <c r="I34" t="s">
        <v>6210</v>
      </c>
      <c r="J34" t="s">
        <v>2089</v>
      </c>
      <c r="K34" t="s">
        <v>1947</v>
      </c>
      <c r="L34" t="s">
        <v>6199</v>
      </c>
      <c r="M34" t="s">
        <v>6193</v>
      </c>
      <c r="N34">
        <v>0.5</v>
      </c>
      <c r="O34">
        <v>8.73</v>
      </c>
      <c r="P34">
        <v>1.746</v>
      </c>
      <c r="Q34">
        <v>1.1349</v>
      </c>
      <c r="R34" s="5">
        <v>52.38</v>
      </c>
    </row>
    <row r="35" spans="1:18" x14ac:dyDescent="0.25">
      <c r="A35" t="s">
        <v>85</v>
      </c>
      <c r="B35" s="7">
        <v>44394</v>
      </c>
      <c r="C35" t="str">
        <f>TEXT(Table3[[#This Row],[Order Date]],"yyyy")</f>
        <v>2021</v>
      </c>
      <c r="D35" t="s">
        <v>6230</v>
      </c>
      <c r="E35" t="s">
        <v>86</v>
      </c>
      <c r="F35" t="s">
        <v>25</v>
      </c>
      <c r="G35">
        <v>5</v>
      </c>
      <c r="H35" t="s">
        <v>2103</v>
      </c>
      <c r="I35" t="s">
        <v>6210</v>
      </c>
      <c r="J35" t="s">
        <v>2106</v>
      </c>
      <c r="K35" t="s">
        <v>1947</v>
      </c>
      <c r="L35" t="s">
        <v>6199</v>
      </c>
      <c r="M35" t="s">
        <v>6215</v>
      </c>
      <c r="N35">
        <v>0.2</v>
      </c>
      <c r="O35">
        <v>4.7549999999999999</v>
      </c>
      <c r="P35">
        <v>2.3774999999999999</v>
      </c>
      <c r="Q35">
        <v>0.61814999999999998</v>
      </c>
      <c r="R35" s="5">
        <v>23.774999999999999</v>
      </c>
    </row>
    <row r="36" spans="1:18" x14ac:dyDescent="0.25">
      <c r="A36" t="s">
        <v>87</v>
      </c>
      <c r="B36" s="7">
        <v>44011</v>
      </c>
      <c r="C36" t="str">
        <f>TEXT(Table3[[#This Row],[Order Date]],"yyyy")</f>
        <v>2020</v>
      </c>
      <c r="D36" t="s">
        <v>6229</v>
      </c>
      <c r="E36" t="s">
        <v>88</v>
      </c>
      <c r="F36" t="s">
        <v>89</v>
      </c>
      <c r="G36">
        <v>6</v>
      </c>
      <c r="H36" t="s">
        <v>2107</v>
      </c>
      <c r="I36" t="s">
        <v>2112</v>
      </c>
      <c r="J36" t="s">
        <v>2111</v>
      </c>
      <c r="K36" t="s">
        <v>1938</v>
      </c>
      <c r="L36" t="s">
        <v>6199</v>
      </c>
      <c r="M36" t="s">
        <v>6215</v>
      </c>
      <c r="N36">
        <v>0.5</v>
      </c>
      <c r="O36">
        <v>9.51</v>
      </c>
      <c r="P36">
        <v>1.9019999999999999</v>
      </c>
      <c r="Q36">
        <v>1.2363</v>
      </c>
      <c r="R36" s="5">
        <v>57.06</v>
      </c>
    </row>
    <row r="37" spans="1:18" x14ac:dyDescent="0.25">
      <c r="A37" t="s">
        <v>90</v>
      </c>
      <c r="B37" s="7">
        <v>44348</v>
      </c>
      <c r="C37" t="str">
        <f>TEXT(Table3[[#This Row],[Order Date]],"yyyy")</f>
        <v>2021</v>
      </c>
      <c r="D37" t="s">
        <v>6229</v>
      </c>
      <c r="E37" t="s">
        <v>91</v>
      </c>
      <c r="F37" t="s">
        <v>78</v>
      </c>
      <c r="G37">
        <v>6</v>
      </c>
      <c r="H37" t="s">
        <v>2114</v>
      </c>
      <c r="I37" t="s">
        <v>6210</v>
      </c>
      <c r="J37" t="s">
        <v>2118</v>
      </c>
      <c r="K37" t="s">
        <v>1947</v>
      </c>
      <c r="L37" t="s">
        <v>6213</v>
      </c>
      <c r="M37" t="s">
        <v>6195</v>
      </c>
      <c r="N37">
        <v>0.5</v>
      </c>
      <c r="O37">
        <v>5.97</v>
      </c>
      <c r="P37">
        <v>1.194</v>
      </c>
      <c r="Q37">
        <v>0.5373</v>
      </c>
      <c r="R37" s="5">
        <v>35.82</v>
      </c>
    </row>
    <row r="38" spans="1:18" x14ac:dyDescent="0.25">
      <c r="A38" t="s">
        <v>92</v>
      </c>
      <c r="B38" s="7">
        <v>44233</v>
      </c>
      <c r="C38" t="str">
        <f>TEXT(Table3[[#This Row],[Order Date]],"yyyy")</f>
        <v>2021</v>
      </c>
      <c r="D38" t="s">
        <v>6238</v>
      </c>
      <c r="E38" t="s">
        <v>93</v>
      </c>
      <c r="F38" t="s">
        <v>83</v>
      </c>
      <c r="G38">
        <v>2</v>
      </c>
      <c r="H38" t="s">
        <v>2119</v>
      </c>
      <c r="I38" t="s">
        <v>6210</v>
      </c>
      <c r="J38" t="s">
        <v>2123</v>
      </c>
      <c r="K38" t="s">
        <v>1947</v>
      </c>
      <c r="L38" t="s">
        <v>6199</v>
      </c>
      <c r="M38" t="s">
        <v>6193</v>
      </c>
      <c r="N38">
        <v>0.2</v>
      </c>
      <c r="O38">
        <v>4.3650000000000002</v>
      </c>
      <c r="P38">
        <v>2.1825000000000001</v>
      </c>
      <c r="Q38">
        <v>0.56745000000000001</v>
      </c>
      <c r="R38" s="5">
        <v>8.73</v>
      </c>
    </row>
    <row r="39" spans="1:18" x14ac:dyDescent="0.25">
      <c r="A39" t="s">
        <v>94</v>
      </c>
      <c r="B39" s="7">
        <v>43580</v>
      </c>
      <c r="C39" t="str">
        <f>TEXT(Table3[[#This Row],[Order Date]],"yyyy")</f>
        <v>2019</v>
      </c>
      <c r="D39" t="s">
        <v>6236</v>
      </c>
      <c r="E39" t="s">
        <v>95</v>
      </c>
      <c r="F39" t="s">
        <v>89</v>
      </c>
      <c r="G39">
        <v>3</v>
      </c>
      <c r="H39" t="s">
        <v>2124</v>
      </c>
      <c r="I39" t="s">
        <v>6210</v>
      </c>
      <c r="J39" t="s">
        <v>2128</v>
      </c>
      <c r="K39" t="s">
        <v>1947</v>
      </c>
      <c r="L39" t="s">
        <v>6199</v>
      </c>
      <c r="M39" t="s">
        <v>6215</v>
      </c>
      <c r="N39">
        <v>0.5</v>
      </c>
      <c r="O39">
        <v>9.51</v>
      </c>
      <c r="P39">
        <v>1.9019999999999999</v>
      </c>
      <c r="Q39">
        <v>1.2363</v>
      </c>
      <c r="R39" s="5">
        <v>28.53</v>
      </c>
    </row>
    <row r="40" spans="1:18" x14ac:dyDescent="0.25">
      <c r="A40" t="s">
        <v>96</v>
      </c>
      <c r="B40" s="7">
        <v>43946</v>
      </c>
      <c r="C40" t="str">
        <f>TEXT(Table3[[#This Row],[Order Date]],"yyyy")</f>
        <v>2020</v>
      </c>
      <c r="D40" t="s">
        <v>6236</v>
      </c>
      <c r="E40" t="s">
        <v>97</v>
      </c>
      <c r="F40" t="s">
        <v>47</v>
      </c>
      <c r="G40">
        <v>5</v>
      </c>
      <c r="H40" t="s">
        <v>2129</v>
      </c>
      <c r="I40" t="s">
        <v>6210</v>
      </c>
      <c r="J40" t="s">
        <v>2133</v>
      </c>
      <c r="K40" t="s">
        <v>1947</v>
      </c>
      <c r="L40" t="s">
        <v>6211</v>
      </c>
      <c r="M40" t="s">
        <v>6193</v>
      </c>
      <c r="N40">
        <v>2.5</v>
      </c>
      <c r="O40">
        <v>22.884999999999998</v>
      </c>
      <c r="P40">
        <v>0.91539999999999988</v>
      </c>
      <c r="Q40">
        <v>1.3730999999999998</v>
      </c>
      <c r="R40" s="5">
        <v>114.42499999999998</v>
      </c>
    </row>
    <row r="41" spans="1:18" x14ac:dyDescent="0.25">
      <c r="A41" t="s">
        <v>98</v>
      </c>
      <c r="B41" s="7">
        <v>44524</v>
      </c>
      <c r="C41" t="str">
        <f>TEXT(Table3[[#This Row],[Order Date]],"yyyy")</f>
        <v>2021</v>
      </c>
      <c r="D41" t="s">
        <v>6239</v>
      </c>
      <c r="E41" t="s">
        <v>99</v>
      </c>
      <c r="F41" t="s">
        <v>8</v>
      </c>
      <c r="G41">
        <v>6</v>
      </c>
      <c r="H41" t="s">
        <v>2134</v>
      </c>
      <c r="I41" t="s">
        <v>6210</v>
      </c>
      <c r="J41" t="s">
        <v>2136</v>
      </c>
      <c r="K41" t="s">
        <v>1938</v>
      </c>
      <c r="L41" t="s">
        <v>6211</v>
      </c>
      <c r="M41" t="s">
        <v>6193</v>
      </c>
      <c r="N41">
        <v>1</v>
      </c>
      <c r="O41">
        <v>9.9499999999999993</v>
      </c>
      <c r="P41">
        <v>0.99499999999999988</v>
      </c>
      <c r="Q41">
        <v>0.59699999999999998</v>
      </c>
      <c r="R41" s="5">
        <v>59.699999999999996</v>
      </c>
    </row>
    <row r="42" spans="1:18" x14ac:dyDescent="0.25">
      <c r="A42" t="s">
        <v>100</v>
      </c>
      <c r="B42" s="7">
        <v>44305</v>
      </c>
      <c r="C42" t="str">
        <f>TEXT(Table3[[#This Row],[Order Date]],"yyyy")</f>
        <v>2021</v>
      </c>
      <c r="D42" t="s">
        <v>6236</v>
      </c>
      <c r="E42" t="s">
        <v>101</v>
      </c>
      <c r="F42" t="s">
        <v>102</v>
      </c>
      <c r="G42">
        <v>3</v>
      </c>
      <c r="H42" t="s">
        <v>2137</v>
      </c>
      <c r="I42" t="s">
        <v>6210</v>
      </c>
      <c r="J42" t="s">
        <v>2140</v>
      </c>
      <c r="K42" t="s">
        <v>1947</v>
      </c>
      <c r="L42" t="s">
        <v>6199</v>
      </c>
      <c r="M42" t="s">
        <v>6193</v>
      </c>
      <c r="N42">
        <v>1</v>
      </c>
      <c r="O42">
        <v>14.55</v>
      </c>
      <c r="P42">
        <v>1.4550000000000001</v>
      </c>
      <c r="Q42">
        <v>1.8915000000000002</v>
      </c>
      <c r="R42" s="5">
        <v>43.650000000000006</v>
      </c>
    </row>
    <row r="43" spans="1:18" x14ac:dyDescent="0.25">
      <c r="A43" t="s">
        <v>103</v>
      </c>
      <c r="B43" s="7">
        <v>44749</v>
      </c>
      <c r="C43" t="str">
        <f>TEXT(Table3[[#This Row],[Order Date]],"yyyy")</f>
        <v>2022</v>
      </c>
      <c r="D43" t="s">
        <v>6230</v>
      </c>
      <c r="E43" t="s">
        <v>104</v>
      </c>
      <c r="F43" t="s">
        <v>57</v>
      </c>
      <c r="G43">
        <v>2</v>
      </c>
      <c r="H43" t="s">
        <v>2141</v>
      </c>
      <c r="I43" t="s">
        <v>6210</v>
      </c>
      <c r="J43" t="s">
        <v>2145</v>
      </c>
      <c r="K43" t="s">
        <v>1938</v>
      </c>
      <c r="L43" t="s">
        <v>6212</v>
      </c>
      <c r="M43" t="s">
        <v>6195</v>
      </c>
      <c r="N43">
        <v>0.2</v>
      </c>
      <c r="O43">
        <v>3.645</v>
      </c>
      <c r="P43">
        <v>1.8225</v>
      </c>
      <c r="Q43">
        <v>0.40095000000000003</v>
      </c>
      <c r="R43" s="5">
        <v>7.29</v>
      </c>
    </row>
    <row r="44" spans="1:18" x14ac:dyDescent="0.25">
      <c r="A44" t="s">
        <v>105</v>
      </c>
      <c r="B44" s="7">
        <v>43607</v>
      </c>
      <c r="C44" t="str">
        <f>TEXT(Table3[[#This Row],[Order Date]],"yyyy")</f>
        <v>2019</v>
      </c>
      <c r="D44" t="s">
        <v>6233</v>
      </c>
      <c r="E44" t="s">
        <v>106</v>
      </c>
      <c r="F44" t="s">
        <v>107</v>
      </c>
      <c r="G44">
        <v>3</v>
      </c>
      <c r="H44" t="s">
        <v>2146</v>
      </c>
      <c r="I44" t="s">
        <v>6210</v>
      </c>
      <c r="J44" t="s">
        <v>2150</v>
      </c>
      <c r="K44" t="s">
        <v>1938</v>
      </c>
      <c r="L44" t="s">
        <v>6211</v>
      </c>
      <c r="M44" t="s">
        <v>6195</v>
      </c>
      <c r="N44">
        <v>0.2</v>
      </c>
      <c r="O44">
        <v>2.6849999999999996</v>
      </c>
      <c r="P44">
        <v>1.3424999999999998</v>
      </c>
      <c r="Q44">
        <v>0.16109999999999997</v>
      </c>
      <c r="R44" s="5">
        <v>8.0549999999999997</v>
      </c>
    </row>
    <row r="45" spans="1:18" x14ac:dyDescent="0.25">
      <c r="A45" t="s">
        <v>108</v>
      </c>
      <c r="B45" s="7">
        <v>44473</v>
      </c>
      <c r="C45" t="str">
        <f>TEXT(Table3[[#This Row],[Order Date]],"yyyy")</f>
        <v>2021</v>
      </c>
      <c r="D45" t="s">
        <v>6235</v>
      </c>
      <c r="E45" t="s">
        <v>109</v>
      </c>
      <c r="F45" t="s">
        <v>110</v>
      </c>
      <c r="G45">
        <v>2</v>
      </c>
      <c r="H45" t="s">
        <v>2151</v>
      </c>
      <c r="I45" t="s">
        <v>6210</v>
      </c>
      <c r="J45" t="s">
        <v>2154</v>
      </c>
      <c r="K45" t="s">
        <v>1947</v>
      </c>
      <c r="L45" t="s">
        <v>6199</v>
      </c>
      <c r="M45" t="s">
        <v>6215</v>
      </c>
      <c r="N45">
        <v>2.5</v>
      </c>
      <c r="O45">
        <v>36.454999999999998</v>
      </c>
      <c r="P45">
        <v>1.4581999999999999</v>
      </c>
      <c r="Q45">
        <v>4.7391499999999995</v>
      </c>
      <c r="R45" s="5">
        <v>72.91</v>
      </c>
    </row>
    <row r="46" spans="1:18" x14ac:dyDescent="0.25">
      <c r="A46" t="s">
        <v>111</v>
      </c>
      <c r="B46" s="7">
        <v>43932</v>
      </c>
      <c r="C46" t="str">
        <f>TEXT(Table3[[#This Row],[Order Date]],"yyyy")</f>
        <v>2020</v>
      </c>
      <c r="D46" t="s">
        <v>6236</v>
      </c>
      <c r="E46" t="s">
        <v>112</v>
      </c>
      <c r="F46" t="s">
        <v>9</v>
      </c>
      <c r="G46">
        <v>2</v>
      </c>
      <c r="H46" t="s">
        <v>2155</v>
      </c>
      <c r="I46" t="s">
        <v>6210</v>
      </c>
      <c r="J46" t="s">
        <v>2159</v>
      </c>
      <c r="K46" t="s">
        <v>1938</v>
      </c>
      <c r="L46" t="s">
        <v>6212</v>
      </c>
      <c r="M46" t="s">
        <v>6193</v>
      </c>
      <c r="N46">
        <v>0.5</v>
      </c>
      <c r="O46">
        <v>8.25</v>
      </c>
      <c r="P46">
        <v>1.65</v>
      </c>
      <c r="Q46">
        <v>0.90749999999999997</v>
      </c>
      <c r="R46" s="5">
        <v>16.5</v>
      </c>
    </row>
    <row r="47" spans="1:18" x14ac:dyDescent="0.25">
      <c r="A47" t="s">
        <v>113</v>
      </c>
      <c r="B47" s="7">
        <v>44592</v>
      </c>
      <c r="C47" t="str">
        <f>TEXT(Table3[[#This Row],[Order Date]],"yyyy")</f>
        <v>2022</v>
      </c>
      <c r="D47" t="s">
        <v>6232</v>
      </c>
      <c r="E47" t="s">
        <v>114</v>
      </c>
      <c r="F47" t="s">
        <v>115</v>
      </c>
      <c r="G47">
        <v>6</v>
      </c>
      <c r="H47" t="s">
        <v>2160</v>
      </c>
      <c r="I47" t="s">
        <v>6210</v>
      </c>
      <c r="J47" t="s">
        <v>2164</v>
      </c>
      <c r="K47" t="s">
        <v>1947</v>
      </c>
      <c r="L47" t="s">
        <v>6199</v>
      </c>
      <c r="M47" t="s">
        <v>6195</v>
      </c>
      <c r="N47">
        <v>2.5</v>
      </c>
      <c r="O47">
        <v>29.784999999999997</v>
      </c>
      <c r="P47">
        <v>1.1913999999999998</v>
      </c>
      <c r="Q47">
        <v>3.8720499999999998</v>
      </c>
      <c r="R47" s="5">
        <v>178.70999999999998</v>
      </c>
    </row>
    <row r="48" spans="1:18" x14ac:dyDescent="0.25">
      <c r="A48" t="s">
        <v>116</v>
      </c>
      <c r="B48" s="7">
        <v>43776</v>
      </c>
      <c r="C48" t="str">
        <f>TEXT(Table3[[#This Row],[Order Date]],"yyyy")</f>
        <v>2019</v>
      </c>
      <c r="D48" t="s">
        <v>6239</v>
      </c>
      <c r="E48" t="s">
        <v>117</v>
      </c>
      <c r="F48" t="s">
        <v>118</v>
      </c>
      <c r="G48">
        <v>2</v>
      </c>
      <c r="H48" t="s">
        <v>2165</v>
      </c>
      <c r="I48" t="s">
        <v>6210</v>
      </c>
      <c r="J48" t="s">
        <v>2168</v>
      </c>
      <c r="K48" t="s">
        <v>1938</v>
      </c>
      <c r="L48" t="s">
        <v>6212</v>
      </c>
      <c r="M48" t="s">
        <v>6193</v>
      </c>
      <c r="N48">
        <v>2.5</v>
      </c>
      <c r="O48">
        <v>31.624999999999996</v>
      </c>
      <c r="P48">
        <v>1.2649999999999999</v>
      </c>
      <c r="Q48">
        <v>3.4787499999999998</v>
      </c>
      <c r="R48" s="5">
        <v>63.249999999999993</v>
      </c>
    </row>
    <row r="49" spans="1:18" x14ac:dyDescent="0.25">
      <c r="A49" t="s">
        <v>119</v>
      </c>
      <c r="B49" s="7">
        <v>43644</v>
      </c>
      <c r="C49" t="str">
        <f>TEXT(Table3[[#This Row],[Order Date]],"yyyy")</f>
        <v>2019</v>
      </c>
      <c r="D49" t="s">
        <v>6229</v>
      </c>
      <c r="E49" t="s">
        <v>120</v>
      </c>
      <c r="F49" t="s">
        <v>121</v>
      </c>
      <c r="G49">
        <v>2</v>
      </c>
      <c r="H49" t="s">
        <v>2169</v>
      </c>
      <c r="I49" t="s">
        <v>6210</v>
      </c>
      <c r="J49" t="s">
        <v>2173</v>
      </c>
      <c r="K49" t="s">
        <v>1938</v>
      </c>
      <c r="L49" t="s">
        <v>6213</v>
      </c>
      <c r="M49" t="s">
        <v>6215</v>
      </c>
      <c r="N49">
        <v>0.2</v>
      </c>
      <c r="O49">
        <v>3.8849999999999998</v>
      </c>
      <c r="P49">
        <v>1.9424999999999999</v>
      </c>
      <c r="Q49">
        <v>0.34964999999999996</v>
      </c>
      <c r="R49" s="5">
        <v>7.77</v>
      </c>
    </row>
    <row r="50" spans="1:18" x14ac:dyDescent="0.25">
      <c r="A50" t="s">
        <v>122</v>
      </c>
      <c r="B50" s="7">
        <v>44085</v>
      </c>
      <c r="C50" t="str">
        <f>TEXT(Table3[[#This Row],[Order Date]],"yyyy")</f>
        <v>2020</v>
      </c>
      <c r="D50" t="s">
        <v>6228</v>
      </c>
      <c r="E50" t="s">
        <v>123</v>
      </c>
      <c r="F50" t="s">
        <v>124</v>
      </c>
      <c r="G50">
        <v>4</v>
      </c>
      <c r="H50" t="s">
        <v>2174</v>
      </c>
      <c r="I50" t="s">
        <v>6210</v>
      </c>
      <c r="J50" t="s">
        <v>2177</v>
      </c>
      <c r="K50" t="s">
        <v>1947</v>
      </c>
      <c r="L50" t="s">
        <v>6213</v>
      </c>
      <c r="M50" t="s">
        <v>6195</v>
      </c>
      <c r="N50">
        <v>2.5</v>
      </c>
      <c r="O50">
        <v>22.884999999999998</v>
      </c>
      <c r="P50">
        <v>0.91539999999999988</v>
      </c>
      <c r="Q50">
        <v>2.0596499999999995</v>
      </c>
      <c r="R50" s="5">
        <v>91.539999999999992</v>
      </c>
    </row>
    <row r="51" spans="1:18" x14ac:dyDescent="0.25">
      <c r="A51" t="s">
        <v>125</v>
      </c>
      <c r="B51" s="7">
        <v>44790</v>
      </c>
      <c r="C51" t="str">
        <f>TEXT(Table3[[#This Row],[Order Date]],"yyyy")</f>
        <v>2022</v>
      </c>
      <c r="D51" t="s">
        <v>6231</v>
      </c>
      <c r="E51" t="s">
        <v>126</v>
      </c>
      <c r="F51" t="s">
        <v>12</v>
      </c>
      <c r="G51">
        <v>3</v>
      </c>
      <c r="H51" t="s">
        <v>2178</v>
      </c>
      <c r="I51" t="s">
        <v>6210</v>
      </c>
      <c r="J51" t="s">
        <v>2182</v>
      </c>
      <c r="K51" t="s">
        <v>1947</v>
      </c>
      <c r="L51" t="s">
        <v>6213</v>
      </c>
      <c r="M51" t="s">
        <v>6215</v>
      </c>
      <c r="N51">
        <v>1</v>
      </c>
      <c r="O51">
        <v>12.95</v>
      </c>
      <c r="P51">
        <v>1.2949999999999999</v>
      </c>
      <c r="Q51">
        <v>1.1655</v>
      </c>
      <c r="R51" s="5">
        <v>38.849999999999994</v>
      </c>
    </row>
    <row r="52" spans="1:18" x14ac:dyDescent="0.25">
      <c r="A52" t="s">
        <v>127</v>
      </c>
      <c r="B52" s="7">
        <v>44792</v>
      </c>
      <c r="C52" t="str">
        <f>TEXT(Table3[[#This Row],[Order Date]],"yyyy")</f>
        <v>2022</v>
      </c>
      <c r="D52" t="s">
        <v>6231</v>
      </c>
      <c r="E52" t="s">
        <v>128</v>
      </c>
      <c r="F52" t="s">
        <v>129</v>
      </c>
      <c r="G52">
        <v>2</v>
      </c>
      <c r="H52" t="s">
        <v>2183</v>
      </c>
      <c r="I52" t="s">
        <v>6210</v>
      </c>
      <c r="J52" t="s">
        <v>2187</v>
      </c>
      <c r="K52" t="s">
        <v>1947</v>
      </c>
      <c r="L52" t="s">
        <v>6199</v>
      </c>
      <c r="M52" t="s">
        <v>6195</v>
      </c>
      <c r="N52">
        <v>0.5</v>
      </c>
      <c r="O52">
        <v>7.77</v>
      </c>
      <c r="P52">
        <v>1.5539999999999998</v>
      </c>
      <c r="Q52">
        <v>1.0101</v>
      </c>
      <c r="R52" s="5">
        <v>15.54</v>
      </c>
    </row>
    <row r="53" spans="1:18" x14ac:dyDescent="0.25">
      <c r="A53" t="s">
        <v>130</v>
      </c>
      <c r="B53" s="7">
        <v>43600</v>
      </c>
      <c r="C53" t="str">
        <f>TEXT(Table3[[#This Row],[Order Date]],"yyyy")</f>
        <v>2019</v>
      </c>
      <c r="D53" t="s">
        <v>6233</v>
      </c>
      <c r="E53" t="s">
        <v>131</v>
      </c>
      <c r="F53" t="s">
        <v>110</v>
      </c>
      <c r="G53">
        <v>4</v>
      </c>
      <c r="H53" t="s">
        <v>2188</v>
      </c>
      <c r="I53" t="s">
        <v>1945</v>
      </c>
      <c r="J53" t="s">
        <v>1944</v>
      </c>
      <c r="K53" t="s">
        <v>1938</v>
      </c>
      <c r="L53" t="s">
        <v>6199</v>
      </c>
      <c r="M53" t="s">
        <v>6215</v>
      </c>
      <c r="N53">
        <v>2.5</v>
      </c>
      <c r="O53">
        <v>36.454999999999998</v>
      </c>
      <c r="P53">
        <v>1.4581999999999999</v>
      </c>
      <c r="Q53">
        <v>4.7391499999999995</v>
      </c>
      <c r="R53" s="5">
        <v>145.82</v>
      </c>
    </row>
    <row r="54" spans="1:18" x14ac:dyDescent="0.25">
      <c r="A54" t="s">
        <v>132</v>
      </c>
      <c r="B54" s="7">
        <v>43719</v>
      </c>
      <c r="C54" t="str">
        <f>TEXT(Table3[[#This Row],[Order Date]],"yyyy")</f>
        <v>2019</v>
      </c>
      <c r="D54" t="s">
        <v>6228</v>
      </c>
      <c r="E54" t="s">
        <v>133</v>
      </c>
      <c r="F54" t="s">
        <v>28</v>
      </c>
      <c r="G54">
        <v>5</v>
      </c>
      <c r="H54" t="s">
        <v>2192</v>
      </c>
      <c r="I54" t="s">
        <v>2112</v>
      </c>
      <c r="J54" t="s">
        <v>2195</v>
      </c>
      <c r="K54" t="s">
        <v>1947</v>
      </c>
      <c r="L54" t="s">
        <v>6211</v>
      </c>
      <c r="M54" t="s">
        <v>6193</v>
      </c>
      <c r="N54">
        <v>0.5</v>
      </c>
      <c r="O54">
        <v>5.97</v>
      </c>
      <c r="P54">
        <v>1.194</v>
      </c>
      <c r="Q54">
        <v>0.35819999999999996</v>
      </c>
      <c r="R54" s="5">
        <v>29.849999999999998</v>
      </c>
    </row>
    <row r="55" spans="1:18" x14ac:dyDescent="0.25">
      <c r="A55" t="s">
        <v>132</v>
      </c>
      <c r="B55" s="7">
        <v>43719</v>
      </c>
      <c r="C55" t="str">
        <f>TEXT(Table3[[#This Row],[Order Date]],"yyyy")</f>
        <v>2019</v>
      </c>
      <c r="D55" t="s">
        <v>6228</v>
      </c>
      <c r="E55" t="s">
        <v>133</v>
      </c>
      <c r="F55" t="s">
        <v>110</v>
      </c>
      <c r="G55">
        <v>2</v>
      </c>
      <c r="H55" t="s">
        <v>2192</v>
      </c>
      <c r="I55" t="s">
        <v>2112</v>
      </c>
      <c r="J55" t="s">
        <v>2195</v>
      </c>
      <c r="K55" t="s">
        <v>1947</v>
      </c>
      <c r="L55" t="s">
        <v>6199</v>
      </c>
      <c r="M55" t="s">
        <v>6215</v>
      </c>
      <c r="N55">
        <v>2.5</v>
      </c>
      <c r="O55">
        <v>36.454999999999998</v>
      </c>
      <c r="P55">
        <v>1.4581999999999999</v>
      </c>
      <c r="Q55">
        <v>4.7391499999999995</v>
      </c>
      <c r="R55" s="5">
        <v>72.91</v>
      </c>
    </row>
    <row r="56" spans="1:18" x14ac:dyDescent="0.25">
      <c r="A56" t="s">
        <v>134</v>
      </c>
      <c r="B56" s="7">
        <v>44271</v>
      </c>
      <c r="C56" t="str">
        <f>TEXT(Table3[[#This Row],[Order Date]],"yyyy")</f>
        <v>2021</v>
      </c>
      <c r="D56" t="s">
        <v>6234</v>
      </c>
      <c r="E56" t="s">
        <v>135</v>
      </c>
      <c r="F56" t="s">
        <v>102</v>
      </c>
      <c r="G56">
        <v>5</v>
      </c>
      <c r="H56" t="s">
        <v>2203</v>
      </c>
      <c r="I56" t="s">
        <v>6210</v>
      </c>
      <c r="J56" t="s">
        <v>2207</v>
      </c>
      <c r="K56" t="s">
        <v>1947</v>
      </c>
      <c r="L56" t="s">
        <v>6199</v>
      </c>
      <c r="M56" t="s">
        <v>6193</v>
      </c>
      <c r="N56">
        <v>1</v>
      </c>
      <c r="O56">
        <v>14.55</v>
      </c>
      <c r="P56">
        <v>1.4550000000000001</v>
      </c>
      <c r="Q56">
        <v>1.8915000000000002</v>
      </c>
      <c r="R56" s="5">
        <v>72.75</v>
      </c>
    </row>
    <row r="57" spans="1:18" x14ac:dyDescent="0.25">
      <c r="A57" t="s">
        <v>136</v>
      </c>
      <c r="B57" s="7">
        <v>44168</v>
      </c>
      <c r="C57" t="str">
        <f>TEXT(Table3[[#This Row],[Order Date]],"yyyy")</f>
        <v>2020</v>
      </c>
      <c r="D57" t="s">
        <v>6237</v>
      </c>
      <c r="E57" t="s">
        <v>137</v>
      </c>
      <c r="F57" t="s">
        <v>138</v>
      </c>
      <c r="G57">
        <v>3</v>
      </c>
      <c r="H57" t="s">
        <v>2208</v>
      </c>
      <c r="I57" t="s">
        <v>6210</v>
      </c>
      <c r="J57" t="s">
        <v>2211</v>
      </c>
      <c r="K57" t="s">
        <v>1947</v>
      </c>
      <c r="L57" t="s">
        <v>6199</v>
      </c>
      <c r="M57" t="s">
        <v>6215</v>
      </c>
      <c r="N57">
        <v>1</v>
      </c>
      <c r="O57">
        <v>15.85</v>
      </c>
      <c r="P57">
        <v>1.585</v>
      </c>
      <c r="Q57">
        <v>2.0605000000000002</v>
      </c>
      <c r="R57" s="5">
        <v>47.55</v>
      </c>
    </row>
    <row r="58" spans="1:18" x14ac:dyDescent="0.25">
      <c r="A58" t="s">
        <v>139</v>
      </c>
      <c r="B58" s="7">
        <v>43857</v>
      </c>
      <c r="C58" t="str">
        <f>TEXT(Table3[[#This Row],[Order Date]],"yyyy")</f>
        <v>2020</v>
      </c>
      <c r="D58" t="s">
        <v>6232</v>
      </c>
      <c r="E58" t="s">
        <v>140</v>
      </c>
      <c r="F58" t="s">
        <v>57</v>
      </c>
      <c r="G58">
        <v>3</v>
      </c>
      <c r="H58" t="s">
        <v>2212</v>
      </c>
      <c r="I58" t="s">
        <v>6210</v>
      </c>
      <c r="J58" t="s">
        <v>2216</v>
      </c>
      <c r="K58" t="s">
        <v>1938</v>
      </c>
      <c r="L58" t="s">
        <v>6212</v>
      </c>
      <c r="M58" t="s">
        <v>6195</v>
      </c>
      <c r="N58">
        <v>0.2</v>
      </c>
      <c r="O58">
        <v>3.645</v>
      </c>
      <c r="P58">
        <v>1.8225</v>
      </c>
      <c r="Q58">
        <v>0.40095000000000003</v>
      </c>
      <c r="R58" s="5">
        <v>10.935</v>
      </c>
    </row>
    <row r="59" spans="1:18" x14ac:dyDescent="0.25">
      <c r="A59" t="s">
        <v>141</v>
      </c>
      <c r="B59" s="7">
        <v>44759</v>
      </c>
      <c r="C59" t="str">
        <f>TEXT(Table3[[#This Row],[Order Date]],"yyyy")</f>
        <v>2022</v>
      </c>
      <c r="D59" t="s">
        <v>6230</v>
      </c>
      <c r="E59" t="s">
        <v>142</v>
      </c>
      <c r="F59" t="s">
        <v>143</v>
      </c>
      <c r="G59">
        <v>4</v>
      </c>
      <c r="H59" t="s">
        <v>2217</v>
      </c>
      <c r="I59" t="s">
        <v>6210</v>
      </c>
      <c r="J59" t="s">
        <v>2221</v>
      </c>
      <c r="K59" t="s">
        <v>1947</v>
      </c>
      <c r="L59" t="s">
        <v>6212</v>
      </c>
      <c r="M59" t="s">
        <v>6215</v>
      </c>
      <c r="N59">
        <v>1</v>
      </c>
      <c r="O59">
        <v>14.85</v>
      </c>
      <c r="P59">
        <v>1.4849999999999999</v>
      </c>
      <c r="Q59">
        <v>1.6335</v>
      </c>
      <c r="R59" s="5">
        <v>59.4</v>
      </c>
    </row>
    <row r="60" spans="1:18" x14ac:dyDescent="0.25">
      <c r="A60" t="s">
        <v>144</v>
      </c>
      <c r="B60" s="7">
        <v>44624</v>
      </c>
      <c r="C60" t="str">
        <f>TEXT(Table3[[#This Row],[Order Date]],"yyyy")</f>
        <v>2022</v>
      </c>
      <c r="D60" t="s">
        <v>6234</v>
      </c>
      <c r="E60" t="s">
        <v>145</v>
      </c>
      <c r="F60" t="s">
        <v>115</v>
      </c>
      <c r="G60">
        <v>3</v>
      </c>
      <c r="H60" t="s">
        <v>2222</v>
      </c>
      <c r="I60" t="s">
        <v>6210</v>
      </c>
      <c r="J60" t="s">
        <v>2225</v>
      </c>
      <c r="K60" t="s">
        <v>1938</v>
      </c>
      <c r="L60" t="s">
        <v>6199</v>
      </c>
      <c r="M60" t="s">
        <v>6195</v>
      </c>
      <c r="N60">
        <v>2.5</v>
      </c>
      <c r="O60">
        <v>29.784999999999997</v>
      </c>
      <c r="P60">
        <v>1.1913999999999998</v>
      </c>
      <c r="Q60">
        <v>3.8720499999999998</v>
      </c>
      <c r="R60" s="5">
        <v>89.35499999999999</v>
      </c>
    </row>
    <row r="61" spans="1:18" x14ac:dyDescent="0.25">
      <c r="A61" t="s">
        <v>146</v>
      </c>
      <c r="B61" s="7">
        <v>44537</v>
      </c>
      <c r="C61" t="str">
        <f>TEXT(Table3[[#This Row],[Order Date]],"yyyy")</f>
        <v>2021</v>
      </c>
      <c r="D61" t="s">
        <v>6237</v>
      </c>
      <c r="E61" t="s">
        <v>147</v>
      </c>
      <c r="F61" t="s">
        <v>84</v>
      </c>
      <c r="G61">
        <v>3</v>
      </c>
      <c r="H61" t="s">
        <v>2226</v>
      </c>
      <c r="I61" t="s">
        <v>6210</v>
      </c>
      <c r="J61" t="s">
        <v>2229</v>
      </c>
      <c r="K61" t="s">
        <v>1938</v>
      </c>
      <c r="L61" t="s">
        <v>6199</v>
      </c>
      <c r="M61" t="s">
        <v>6193</v>
      </c>
      <c r="N61">
        <v>0.5</v>
      </c>
      <c r="O61">
        <v>8.73</v>
      </c>
      <c r="P61">
        <v>1.746</v>
      </c>
      <c r="Q61">
        <v>1.1349</v>
      </c>
      <c r="R61" s="5">
        <v>26.19</v>
      </c>
    </row>
    <row r="62" spans="1:18" x14ac:dyDescent="0.25">
      <c r="A62" t="s">
        <v>148</v>
      </c>
      <c r="B62" s="7">
        <v>44252</v>
      </c>
      <c r="C62" t="str">
        <f>TEXT(Table3[[#This Row],[Order Date]],"yyyy")</f>
        <v>2021</v>
      </c>
      <c r="D62" t="s">
        <v>6238</v>
      </c>
      <c r="E62" t="s">
        <v>149</v>
      </c>
      <c r="F62" t="s">
        <v>124</v>
      </c>
      <c r="G62">
        <v>5</v>
      </c>
      <c r="H62" t="s">
        <v>2230</v>
      </c>
      <c r="I62" t="s">
        <v>6210</v>
      </c>
      <c r="J62" t="s">
        <v>2234</v>
      </c>
      <c r="K62" t="s">
        <v>1947</v>
      </c>
      <c r="L62" t="s">
        <v>6213</v>
      </c>
      <c r="M62" t="s">
        <v>6195</v>
      </c>
      <c r="N62">
        <v>2.5</v>
      </c>
      <c r="O62">
        <v>22.884999999999998</v>
      </c>
      <c r="P62">
        <v>0.91539999999999988</v>
      </c>
      <c r="Q62">
        <v>2.0596499999999995</v>
      </c>
      <c r="R62" s="5">
        <v>114.42499999999998</v>
      </c>
    </row>
    <row r="63" spans="1:18" x14ac:dyDescent="0.25">
      <c r="A63" t="s">
        <v>150</v>
      </c>
      <c r="B63" s="7">
        <v>43521</v>
      </c>
      <c r="C63" t="str">
        <f>TEXT(Table3[[#This Row],[Order Date]],"yyyy")</f>
        <v>2019</v>
      </c>
      <c r="D63" t="s">
        <v>6238</v>
      </c>
      <c r="E63" t="s">
        <v>151</v>
      </c>
      <c r="F63" t="s">
        <v>152</v>
      </c>
      <c r="G63">
        <v>5</v>
      </c>
      <c r="H63" t="s">
        <v>2235</v>
      </c>
      <c r="I63" t="s">
        <v>2112</v>
      </c>
      <c r="J63" t="s">
        <v>2238</v>
      </c>
      <c r="K63" t="s">
        <v>1938</v>
      </c>
      <c r="L63" t="s">
        <v>6211</v>
      </c>
      <c r="M63" t="s">
        <v>6195</v>
      </c>
      <c r="N63">
        <v>0.5</v>
      </c>
      <c r="O63">
        <v>5.3699999999999992</v>
      </c>
      <c r="P63">
        <v>1.0739999999999998</v>
      </c>
      <c r="Q63">
        <v>0.32219999999999993</v>
      </c>
      <c r="R63" s="5">
        <v>26.849999999999994</v>
      </c>
    </row>
    <row r="64" spans="1:18" x14ac:dyDescent="0.25">
      <c r="A64" t="s">
        <v>153</v>
      </c>
      <c r="B64" s="7">
        <v>43505</v>
      </c>
      <c r="C64" t="str">
        <f>TEXT(Table3[[#This Row],[Order Date]],"yyyy")</f>
        <v>2019</v>
      </c>
      <c r="D64" t="s">
        <v>6238</v>
      </c>
      <c r="E64" t="s">
        <v>154</v>
      </c>
      <c r="F64" t="s">
        <v>25</v>
      </c>
      <c r="G64">
        <v>5</v>
      </c>
      <c r="H64" t="s">
        <v>2240</v>
      </c>
      <c r="I64" t="s">
        <v>6210</v>
      </c>
      <c r="J64" t="s">
        <v>2243</v>
      </c>
      <c r="K64" t="s">
        <v>1938</v>
      </c>
      <c r="L64" t="s">
        <v>6199</v>
      </c>
      <c r="M64" t="s">
        <v>6215</v>
      </c>
      <c r="N64">
        <v>0.2</v>
      </c>
      <c r="O64">
        <v>4.7549999999999999</v>
      </c>
      <c r="P64">
        <v>2.3774999999999999</v>
      </c>
      <c r="Q64">
        <v>0.61814999999999998</v>
      </c>
      <c r="R64" s="5">
        <v>23.774999999999999</v>
      </c>
    </row>
    <row r="65" spans="1:18" x14ac:dyDescent="0.25">
      <c r="A65" t="s">
        <v>155</v>
      </c>
      <c r="B65" s="7">
        <v>43868</v>
      </c>
      <c r="C65" t="str">
        <f>TEXT(Table3[[#This Row],[Order Date]],"yyyy")</f>
        <v>2020</v>
      </c>
      <c r="D65" t="s">
        <v>6238</v>
      </c>
      <c r="E65" t="s">
        <v>156</v>
      </c>
      <c r="F65" t="s">
        <v>73</v>
      </c>
      <c r="G65">
        <v>1</v>
      </c>
      <c r="H65" t="s">
        <v>2244</v>
      </c>
      <c r="I65" t="s">
        <v>6210</v>
      </c>
      <c r="J65" t="s">
        <v>2248</v>
      </c>
      <c r="K65" t="s">
        <v>1947</v>
      </c>
      <c r="L65" t="s">
        <v>6213</v>
      </c>
      <c r="M65" t="s">
        <v>6193</v>
      </c>
      <c r="N65">
        <v>0.5</v>
      </c>
      <c r="O65">
        <v>6.75</v>
      </c>
      <c r="P65">
        <v>1.35</v>
      </c>
      <c r="Q65">
        <v>0.60749999999999993</v>
      </c>
      <c r="R65" s="5">
        <v>6.75</v>
      </c>
    </row>
    <row r="66" spans="1:18" x14ac:dyDescent="0.25">
      <c r="A66" t="s">
        <v>157</v>
      </c>
      <c r="B66" s="7">
        <v>43913</v>
      </c>
      <c r="C66" t="str">
        <f>TEXT(Table3[[#This Row],[Order Date]],"yyyy")</f>
        <v>2020</v>
      </c>
      <c r="D66" t="s">
        <v>6234</v>
      </c>
      <c r="E66" t="s">
        <v>158</v>
      </c>
      <c r="F66" t="s">
        <v>28</v>
      </c>
      <c r="G66">
        <v>6</v>
      </c>
      <c r="H66" t="s">
        <v>2249</v>
      </c>
      <c r="I66" t="s">
        <v>6210</v>
      </c>
      <c r="J66" t="s">
        <v>2252</v>
      </c>
      <c r="K66" t="s">
        <v>1938</v>
      </c>
      <c r="L66" t="s">
        <v>6211</v>
      </c>
      <c r="M66" t="s">
        <v>6193</v>
      </c>
      <c r="N66">
        <v>0.5</v>
      </c>
      <c r="O66">
        <v>5.97</v>
      </c>
      <c r="P66">
        <v>1.194</v>
      </c>
      <c r="Q66">
        <v>0.35819999999999996</v>
      </c>
      <c r="R66" s="5">
        <v>35.82</v>
      </c>
    </row>
    <row r="67" spans="1:18" x14ac:dyDescent="0.25">
      <c r="A67" t="s">
        <v>159</v>
      </c>
      <c r="B67" s="7">
        <v>44626</v>
      </c>
      <c r="C67" t="str">
        <f>TEXT(Table3[[#This Row],[Order Date]],"yyyy")</f>
        <v>2022</v>
      </c>
      <c r="D67" t="s">
        <v>6234</v>
      </c>
      <c r="E67" t="s">
        <v>160</v>
      </c>
      <c r="F67" t="s">
        <v>41</v>
      </c>
      <c r="G67">
        <v>4</v>
      </c>
      <c r="H67" t="s">
        <v>2253</v>
      </c>
      <c r="I67" t="s">
        <v>6210</v>
      </c>
      <c r="J67" t="s">
        <v>2257</v>
      </c>
      <c r="K67" t="s">
        <v>1938</v>
      </c>
      <c r="L67" t="s">
        <v>6211</v>
      </c>
      <c r="M67" t="s">
        <v>6195</v>
      </c>
      <c r="N67">
        <v>2.5</v>
      </c>
      <c r="O67">
        <v>20.584999999999997</v>
      </c>
      <c r="P67">
        <v>0.82339999999999991</v>
      </c>
      <c r="Q67">
        <v>1.2350999999999999</v>
      </c>
      <c r="R67" s="5">
        <v>82.339999999999989</v>
      </c>
    </row>
    <row r="68" spans="1:18" x14ac:dyDescent="0.25">
      <c r="A68" t="s">
        <v>161</v>
      </c>
      <c r="B68" s="7">
        <v>44666</v>
      </c>
      <c r="C68" t="str">
        <f>TEXT(Table3[[#This Row],[Order Date]],"yyyy")</f>
        <v>2022</v>
      </c>
      <c r="D68" t="s">
        <v>6236</v>
      </c>
      <c r="E68" t="s">
        <v>162</v>
      </c>
      <c r="F68" t="s">
        <v>163</v>
      </c>
      <c r="G68">
        <v>1</v>
      </c>
      <c r="H68" t="s">
        <v>2258</v>
      </c>
      <c r="I68" t="s">
        <v>6210</v>
      </c>
      <c r="J68" t="s">
        <v>2262</v>
      </c>
      <c r="K68" t="s">
        <v>1938</v>
      </c>
      <c r="L68" t="s">
        <v>6211</v>
      </c>
      <c r="M68" t="s">
        <v>6215</v>
      </c>
      <c r="N68">
        <v>0.5</v>
      </c>
      <c r="O68">
        <v>7.169999999999999</v>
      </c>
      <c r="P68">
        <v>1.4339999999999997</v>
      </c>
      <c r="Q68">
        <v>0.43019999999999992</v>
      </c>
      <c r="R68" s="5">
        <v>7.169999999999999</v>
      </c>
    </row>
    <row r="69" spans="1:18" x14ac:dyDescent="0.25">
      <c r="A69" t="s">
        <v>164</v>
      </c>
      <c r="B69" s="7">
        <v>44519</v>
      </c>
      <c r="C69" t="str">
        <f>TEXT(Table3[[#This Row],[Order Date]],"yyyy")</f>
        <v>2021</v>
      </c>
      <c r="D69" t="s">
        <v>6239</v>
      </c>
      <c r="E69" t="s">
        <v>165</v>
      </c>
      <c r="F69" t="s">
        <v>25</v>
      </c>
      <c r="G69">
        <v>2</v>
      </c>
      <c r="H69" t="s">
        <v>2263</v>
      </c>
      <c r="I69" t="s">
        <v>6210</v>
      </c>
      <c r="J69" t="s">
        <v>2267</v>
      </c>
      <c r="K69" t="s">
        <v>1947</v>
      </c>
      <c r="L69" t="s">
        <v>6199</v>
      </c>
      <c r="M69" t="s">
        <v>6215</v>
      </c>
      <c r="N69">
        <v>0.2</v>
      </c>
      <c r="O69">
        <v>4.7549999999999999</v>
      </c>
      <c r="P69">
        <v>2.3774999999999999</v>
      </c>
      <c r="Q69">
        <v>0.61814999999999998</v>
      </c>
      <c r="R69" s="5">
        <v>9.51</v>
      </c>
    </row>
    <row r="70" spans="1:18" x14ac:dyDescent="0.25">
      <c r="A70" t="s">
        <v>166</v>
      </c>
      <c r="B70" s="7">
        <v>43754</v>
      </c>
      <c r="C70" t="str">
        <f>TEXT(Table3[[#This Row],[Order Date]],"yyyy")</f>
        <v>2019</v>
      </c>
      <c r="D70" t="s">
        <v>6235</v>
      </c>
      <c r="E70" t="s">
        <v>167</v>
      </c>
      <c r="F70" t="s">
        <v>168</v>
      </c>
      <c r="G70">
        <v>1</v>
      </c>
      <c r="H70" t="s">
        <v>2268</v>
      </c>
      <c r="I70" t="s">
        <v>6210</v>
      </c>
      <c r="J70" t="s">
        <v>2272</v>
      </c>
      <c r="K70" t="s">
        <v>1947</v>
      </c>
      <c r="L70" t="s">
        <v>6211</v>
      </c>
      <c r="M70" t="s">
        <v>6193</v>
      </c>
      <c r="N70">
        <v>0.2</v>
      </c>
      <c r="O70">
        <v>2.9849999999999999</v>
      </c>
      <c r="P70">
        <v>1.4924999999999999</v>
      </c>
      <c r="Q70">
        <v>0.17909999999999998</v>
      </c>
      <c r="R70" s="5">
        <v>2.9849999999999999</v>
      </c>
    </row>
    <row r="71" spans="1:18" x14ac:dyDescent="0.25">
      <c r="A71" t="s">
        <v>169</v>
      </c>
      <c r="B71" s="7">
        <v>43795</v>
      </c>
      <c r="C71" t="str">
        <f>TEXT(Table3[[#This Row],[Order Date]],"yyyy")</f>
        <v>2019</v>
      </c>
      <c r="D71" t="s">
        <v>6239</v>
      </c>
      <c r="E71" t="s">
        <v>170</v>
      </c>
      <c r="F71" t="s">
        <v>8</v>
      </c>
      <c r="G71">
        <v>6</v>
      </c>
      <c r="H71" t="s">
        <v>2273</v>
      </c>
      <c r="I71" t="s">
        <v>2112</v>
      </c>
      <c r="J71" t="s">
        <v>2277</v>
      </c>
      <c r="K71" t="s">
        <v>1938</v>
      </c>
      <c r="L71" t="s">
        <v>6211</v>
      </c>
      <c r="M71" t="s">
        <v>6193</v>
      </c>
      <c r="N71">
        <v>1</v>
      </c>
      <c r="O71">
        <v>9.9499999999999993</v>
      </c>
      <c r="P71">
        <v>0.99499999999999988</v>
      </c>
      <c r="Q71">
        <v>0.59699999999999998</v>
      </c>
      <c r="R71" s="5">
        <v>59.699999999999996</v>
      </c>
    </row>
    <row r="72" spans="1:18" x14ac:dyDescent="0.25">
      <c r="A72" t="s">
        <v>171</v>
      </c>
      <c r="B72" s="7">
        <v>43646</v>
      </c>
      <c r="C72" t="str">
        <f>TEXT(Table3[[#This Row],[Order Date]],"yyyy")</f>
        <v>2019</v>
      </c>
      <c r="D72" t="s">
        <v>6229</v>
      </c>
      <c r="E72" t="s">
        <v>172</v>
      </c>
      <c r="F72" t="s">
        <v>36</v>
      </c>
      <c r="G72">
        <v>4</v>
      </c>
      <c r="H72" t="s">
        <v>2279</v>
      </c>
      <c r="I72" t="s">
        <v>6210</v>
      </c>
      <c r="J72" t="s">
        <v>2283</v>
      </c>
      <c r="K72" t="s">
        <v>1947</v>
      </c>
      <c r="L72" t="s">
        <v>6212</v>
      </c>
      <c r="M72" t="s">
        <v>6215</v>
      </c>
      <c r="N72">
        <v>2.5</v>
      </c>
      <c r="O72">
        <v>34.154999999999994</v>
      </c>
      <c r="P72">
        <v>1.3661999999999999</v>
      </c>
      <c r="Q72">
        <v>3.7570499999999996</v>
      </c>
      <c r="R72" s="5">
        <v>136.61999999999998</v>
      </c>
    </row>
    <row r="73" spans="1:18" x14ac:dyDescent="0.25">
      <c r="A73" t="s">
        <v>173</v>
      </c>
      <c r="B73" s="7">
        <v>44200</v>
      </c>
      <c r="C73" t="str">
        <f>TEXT(Table3[[#This Row],[Order Date]],"yyyy")</f>
        <v>2021</v>
      </c>
      <c r="D73" t="s">
        <v>6232</v>
      </c>
      <c r="E73" t="s">
        <v>174</v>
      </c>
      <c r="F73" t="s">
        <v>25</v>
      </c>
      <c r="G73">
        <v>2</v>
      </c>
      <c r="H73" t="s">
        <v>2284</v>
      </c>
      <c r="I73" t="s">
        <v>1945</v>
      </c>
      <c r="J73" t="s">
        <v>2288</v>
      </c>
      <c r="K73" t="s">
        <v>1947</v>
      </c>
      <c r="L73" t="s">
        <v>6199</v>
      </c>
      <c r="M73" t="s">
        <v>6215</v>
      </c>
      <c r="N73">
        <v>0.2</v>
      </c>
      <c r="O73">
        <v>4.7549999999999999</v>
      </c>
      <c r="P73">
        <v>2.3774999999999999</v>
      </c>
      <c r="Q73">
        <v>0.61814999999999998</v>
      </c>
      <c r="R73" s="5">
        <v>9.51</v>
      </c>
    </row>
    <row r="74" spans="1:18" x14ac:dyDescent="0.25">
      <c r="A74" t="s">
        <v>175</v>
      </c>
      <c r="B74" s="7">
        <v>44131</v>
      </c>
      <c r="C74" t="str">
        <f>TEXT(Table3[[#This Row],[Order Date]],"yyyy")</f>
        <v>2020</v>
      </c>
      <c r="D74" t="s">
        <v>6235</v>
      </c>
      <c r="E74" t="s">
        <v>176</v>
      </c>
      <c r="F74" t="s">
        <v>177</v>
      </c>
      <c r="G74">
        <v>3</v>
      </c>
      <c r="H74" t="s">
        <v>2290</v>
      </c>
      <c r="I74" t="s">
        <v>6210</v>
      </c>
      <c r="J74" t="s">
        <v>2140</v>
      </c>
      <c r="K74" t="s">
        <v>1947</v>
      </c>
      <c r="L74" t="s">
        <v>6213</v>
      </c>
      <c r="M74" t="s">
        <v>6193</v>
      </c>
      <c r="N74">
        <v>2.5</v>
      </c>
      <c r="O74">
        <v>25.874999999999996</v>
      </c>
      <c r="P74">
        <v>1.0349999999999999</v>
      </c>
      <c r="Q74">
        <v>2.3287499999999994</v>
      </c>
      <c r="R74" s="5">
        <v>77.624999999999986</v>
      </c>
    </row>
    <row r="75" spans="1:18" x14ac:dyDescent="0.25">
      <c r="A75" t="s">
        <v>178</v>
      </c>
      <c r="B75" s="7">
        <v>44362</v>
      </c>
      <c r="C75" t="str">
        <f>TEXT(Table3[[#This Row],[Order Date]],"yyyy")</f>
        <v>2021</v>
      </c>
      <c r="D75" t="s">
        <v>6229</v>
      </c>
      <c r="E75" t="s">
        <v>179</v>
      </c>
      <c r="F75" t="s">
        <v>83</v>
      </c>
      <c r="G75">
        <v>5</v>
      </c>
      <c r="H75" t="s">
        <v>2293</v>
      </c>
      <c r="I75" t="s">
        <v>6210</v>
      </c>
      <c r="J75" t="s">
        <v>2296</v>
      </c>
      <c r="K75" t="s">
        <v>1938</v>
      </c>
      <c r="L75" t="s">
        <v>6199</v>
      </c>
      <c r="M75" t="s">
        <v>6193</v>
      </c>
      <c r="N75">
        <v>0.2</v>
      </c>
      <c r="O75">
        <v>4.3650000000000002</v>
      </c>
      <c r="P75">
        <v>2.1825000000000001</v>
      </c>
      <c r="Q75">
        <v>0.56745000000000001</v>
      </c>
      <c r="R75" s="5">
        <v>21.825000000000003</v>
      </c>
    </row>
    <row r="76" spans="1:18" x14ac:dyDescent="0.25">
      <c r="A76" t="s">
        <v>180</v>
      </c>
      <c r="B76" s="7">
        <v>44396</v>
      </c>
      <c r="C76" t="str">
        <f>TEXT(Table3[[#This Row],[Order Date]],"yyyy")</f>
        <v>2021</v>
      </c>
      <c r="D76" t="s">
        <v>6230</v>
      </c>
      <c r="E76" t="s">
        <v>181</v>
      </c>
      <c r="F76" t="s">
        <v>182</v>
      </c>
      <c r="G76">
        <v>2</v>
      </c>
      <c r="H76" t="s">
        <v>2297</v>
      </c>
      <c r="I76" t="s">
        <v>6210</v>
      </c>
      <c r="J76" t="s">
        <v>1958</v>
      </c>
      <c r="K76" t="s">
        <v>1938</v>
      </c>
      <c r="L76" t="s">
        <v>6212</v>
      </c>
      <c r="M76" t="s">
        <v>6215</v>
      </c>
      <c r="N76">
        <v>0.5</v>
      </c>
      <c r="O76">
        <v>8.91</v>
      </c>
      <c r="P76">
        <v>1.782</v>
      </c>
      <c r="Q76">
        <v>0.98009999999999997</v>
      </c>
      <c r="R76" s="5">
        <v>17.82</v>
      </c>
    </row>
    <row r="77" spans="1:18" x14ac:dyDescent="0.25">
      <c r="A77" t="s">
        <v>183</v>
      </c>
      <c r="B77" s="7">
        <v>44400</v>
      </c>
      <c r="C77" t="str">
        <f>TEXT(Table3[[#This Row],[Order Date]],"yyyy")</f>
        <v>2021</v>
      </c>
      <c r="D77" t="s">
        <v>6230</v>
      </c>
      <c r="E77" t="s">
        <v>184</v>
      </c>
      <c r="F77" t="s">
        <v>185</v>
      </c>
      <c r="G77">
        <v>6</v>
      </c>
      <c r="H77" t="s">
        <v>2301</v>
      </c>
      <c r="I77" t="s">
        <v>1945</v>
      </c>
      <c r="J77" t="s">
        <v>2305</v>
      </c>
      <c r="K77" t="s">
        <v>1938</v>
      </c>
      <c r="L77" t="s">
        <v>6211</v>
      </c>
      <c r="M77" t="s">
        <v>6195</v>
      </c>
      <c r="N77">
        <v>1</v>
      </c>
      <c r="O77">
        <v>8.9499999999999993</v>
      </c>
      <c r="P77">
        <v>0.89499999999999991</v>
      </c>
      <c r="Q77">
        <v>0.53699999999999992</v>
      </c>
      <c r="R77" s="5">
        <v>53.699999999999996</v>
      </c>
    </row>
    <row r="78" spans="1:18" x14ac:dyDescent="0.25">
      <c r="A78" t="s">
        <v>186</v>
      </c>
      <c r="B78" s="7">
        <v>43855</v>
      </c>
      <c r="C78" t="str">
        <f>TEXT(Table3[[#This Row],[Order Date]],"yyyy")</f>
        <v>2020</v>
      </c>
      <c r="D78" t="s">
        <v>6232</v>
      </c>
      <c r="E78" t="s">
        <v>187</v>
      </c>
      <c r="F78" t="s">
        <v>188</v>
      </c>
      <c r="G78">
        <v>1</v>
      </c>
      <c r="H78" t="s">
        <v>2307</v>
      </c>
      <c r="I78" t="s">
        <v>1945</v>
      </c>
      <c r="J78" t="s">
        <v>2310</v>
      </c>
      <c r="K78" t="s">
        <v>1938</v>
      </c>
      <c r="L78" t="s">
        <v>6211</v>
      </c>
      <c r="M78" t="s">
        <v>6215</v>
      </c>
      <c r="N78">
        <v>0.2</v>
      </c>
      <c r="O78">
        <v>3.5849999999999995</v>
      </c>
      <c r="P78">
        <v>1.7924999999999998</v>
      </c>
      <c r="Q78">
        <v>0.21509999999999996</v>
      </c>
      <c r="R78" s="5">
        <v>3.5849999999999995</v>
      </c>
    </row>
    <row r="79" spans="1:18" x14ac:dyDescent="0.25">
      <c r="A79" t="s">
        <v>189</v>
      </c>
      <c r="B79" s="7">
        <v>43594</v>
      </c>
      <c r="C79" t="str">
        <f>TEXT(Table3[[#This Row],[Order Date]],"yyyy")</f>
        <v>2019</v>
      </c>
      <c r="D79" t="s">
        <v>6233</v>
      </c>
      <c r="E79" t="s">
        <v>190</v>
      </c>
      <c r="F79" t="s">
        <v>57</v>
      </c>
      <c r="G79">
        <v>2</v>
      </c>
      <c r="H79" t="s">
        <v>2312</v>
      </c>
      <c r="I79" t="s">
        <v>6210</v>
      </c>
      <c r="J79" t="s">
        <v>2316</v>
      </c>
      <c r="K79" t="s">
        <v>1947</v>
      </c>
      <c r="L79" t="s">
        <v>6212</v>
      </c>
      <c r="M79" t="s">
        <v>6195</v>
      </c>
      <c r="N79">
        <v>0.2</v>
      </c>
      <c r="O79">
        <v>3.645</v>
      </c>
      <c r="P79">
        <v>1.8225</v>
      </c>
      <c r="Q79">
        <v>0.40095000000000003</v>
      </c>
      <c r="R79" s="5">
        <v>7.29</v>
      </c>
    </row>
    <row r="80" spans="1:18" x14ac:dyDescent="0.25">
      <c r="A80" t="s">
        <v>191</v>
      </c>
      <c r="B80" s="7">
        <v>43920</v>
      </c>
      <c r="C80" t="str">
        <f>TEXT(Table3[[#This Row],[Order Date]],"yyyy")</f>
        <v>2020</v>
      </c>
      <c r="D80" t="s">
        <v>6234</v>
      </c>
      <c r="E80" t="s">
        <v>192</v>
      </c>
      <c r="F80" t="s">
        <v>73</v>
      </c>
      <c r="G80">
        <v>6</v>
      </c>
      <c r="H80" t="s">
        <v>2317</v>
      </c>
      <c r="I80" t="s">
        <v>6210</v>
      </c>
      <c r="J80" t="s">
        <v>2321</v>
      </c>
      <c r="K80" t="s">
        <v>1938</v>
      </c>
      <c r="L80" t="s">
        <v>6213</v>
      </c>
      <c r="M80" t="s">
        <v>6193</v>
      </c>
      <c r="N80">
        <v>0.5</v>
      </c>
      <c r="O80">
        <v>6.75</v>
      </c>
      <c r="P80">
        <v>1.35</v>
      </c>
      <c r="Q80">
        <v>0.60749999999999993</v>
      </c>
      <c r="R80" s="5">
        <v>40.5</v>
      </c>
    </row>
    <row r="81" spans="1:18" x14ac:dyDescent="0.25">
      <c r="A81" t="s">
        <v>193</v>
      </c>
      <c r="B81" s="7">
        <v>44633</v>
      </c>
      <c r="C81" t="str">
        <f>TEXT(Table3[[#This Row],[Order Date]],"yyyy")</f>
        <v>2022</v>
      </c>
      <c r="D81" t="s">
        <v>6234</v>
      </c>
      <c r="E81" t="s">
        <v>194</v>
      </c>
      <c r="F81" t="s">
        <v>195</v>
      </c>
      <c r="G81">
        <v>4</v>
      </c>
      <c r="H81" t="s">
        <v>2322</v>
      </c>
      <c r="I81" t="s">
        <v>6210</v>
      </c>
      <c r="J81" t="s">
        <v>2326</v>
      </c>
      <c r="K81" t="s">
        <v>1947</v>
      </c>
      <c r="L81" t="s">
        <v>6211</v>
      </c>
      <c r="M81" t="s">
        <v>6215</v>
      </c>
      <c r="N81">
        <v>1</v>
      </c>
      <c r="O81">
        <v>11.95</v>
      </c>
      <c r="P81">
        <v>1.1949999999999998</v>
      </c>
      <c r="Q81">
        <v>0.71699999999999997</v>
      </c>
      <c r="R81" s="5">
        <v>47.8</v>
      </c>
    </row>
    <row r="82" spans="1:18" x14ac:dyDescent="0.25">
      <c r="A82" t="s">
        <v>196</v>
      </c>
      <c r="B82" s="7">
        <v>43572</v>
      </c>
      <c r="C82" t="str">
        <f>TEXT(Table3[[#This Row],[Order Date]],"yyyy")</f>
        <v>2019</v>
      </c>
      <c r="D82" t="s">
        <v>6236</v>
      </c>
      <c r="E82" t="s">
        <v>197</v>
      </c>
      <c r="F82" t="s">
        <v>198</v>
      </c>
      <c r="G82">
        <v>5</v>
      </c>
      <c r="H82" t="s">
        <v>2327</v>
      </c>
      <c r="I82" t="s">
        <v>6210</v>
      </c>
      <c r="J82" t="s">
        <v>2331</v>
      </c>
      <c r="K82" t="s">
        <v>1938</v>
      </c>
      <c r="L82" t="s">
        <v>6213</v>
      </c>
      <c r="M82" t="s">
        <v>6215</v>
      </c>
      <c r="N82">
        <v>0.5</v>
      </c>
      <c r="O82">
        <v>7.77</v>
      </c>
      <c r="P82">
        <v>1.5539999999999998</v>
      </c>
      <c r="Q82">
        <v>0.69929999999999992</v>
      </c>
      <c r="R82" s="5">
        <v>38.849999999999994</v>
      </c>
    </row>
    <row r="83" spans="1:18" x14ac:dyDescent="0.25">
      <c r="A83" t="s">
        <v>199</v>
      </c>
      <c r="B83" s="7">
        <v>43763</v>
      </c>
      <c r="C83" t="str">
        <f>TEXT(Table3[[#This Row],[Order Date]],"yyyy")</f>
        <v>2019</v>
      </c>
      <c r="D83" t="s">
        <v>6235</v>
      </c>
      <c r="E83" t="s">
        <v>200</v>
      </c>
      <c r="F83" t="s">
        <v>110</v>
      </c>
      <c r="G83">
        <v>3</v>
      </c>
      <c r="H83" t="s">
        <v>2332</v>
      </c>
      <c r="I83" t="s">
        <v>6210</v>
      </c>
      <c r="J83" t="s">
        <v>2336</v>
      </c>
      <c r="K83" t="s">
        <v>1938</v>
      </c>
      <c r="L83" t="s">
        <v>6199</v>
      </c>
      <c r="M83" t="s">
        <v>6215</v>
      </c>
      <c r="N83">
        <v>2.5</v>
      </c>
      <c r="O83">
        <v>36.454999999999998</v>
      </c>
      <c r="P83">
        <v>1.4581999999999999</v>
      </c>
      <c r="Q83">
        <v>4.7391499999999995</v>
      </c>
      <c r="R83" s="5">
        <v>109.36499999999999</v>
      </c>
    </row>
    <row r="84" spans="1:18" x14ac:dyDescent="0.25">
      <c r="A84" t="s">
        <v>201</v>
      </c>
      <c r="B84" s="7">
        <v>43721</v>
      </c>
      <c r="C84" t="str">
        <f>TEXT(Table3[[#This Row],[Order Date]],"yyyy")</f>
        <v>2019</v>
      </c>
      <c r="D84" t="s">
        <v>6228</v>
      </c>
      <c r="E84" t="s">
        <v>202</v>
      </c>
      <c r="F84" t="s">
        <v>203</v>
      </c>
      <c r="G84">
        <v>3</v>
      </c>
      <c r="H84" t="s">
        <v>2337</v>
      </c>
      <c r="I84" t="s">
        <v>1945</v>
      </c>
      <c r="J84" t="s">
        <v>2341</v>
      </c>
      <c r="K84" t="s">
        <v>1938</v>
      </c>
      <c r="L84" t="s">
        <v>6199</v>
      </c>
      <c r="M84" t="s">
        <v>6193</v>
      </c>
      <c r="N84">
        <v>2.5</v>
      </c>
      <c r="O84">
        <v>33.464999999999996</v>
      </c>
      <c r="P84">
        <v>1.3385999999999998</v>
      </c>
      <c r="Q84">
        <v>4.3504499999999995</v>
      </c>
      <c r="R84" s="5">
        <v>100.39499999999998</v>
      </c>
    </row>
    <row r="85" spans="1:18" x14ac:dyDescent="0.25">
      <c r="A85" t="s">
        <v>204</v>
      </c>
      <c r="B85" s="7">
        <v>43933</v>
      </c>
      <c r="C85" t="str">
        <f>TEXT(Table3[[#This Row],[Order Date]],"yyyy")</f>
        <v>2020</v>
      </c>
      <c r="D85" t="s">
        <v>6236</v>
      </c>
      <c r="E85" t="s">
        <v>205</v>
      </c>
      <c r="F85" t="s">
        <v>41</v>
      </c>
      <c r="G85">
        <v>4</v>
      </c>
      <c r="H85" t="s">
        <v>2343</v>
      </c>
      <c r="I85" t="s">
        <v>6210</v>
      </c>
      <c r="J85" t="s">
        <v>2346</v>
      </c>
      <c r="K85" t="s">
        <v>1938</v>
      </c>
      <c r="L85" t="s">
        <v>6211</v>
      </c>
      <c r="M85" t="s">
        <v>6195</v>
      </c>
      <c r="N85">
        <v>2.5</v>
      </c>
      <c r="O85">
        <v>20.584999999999997</v>
      </c>
      <c r="P85">
        <v>0.82339999999999991</v>
      </c>
      <c r="Q85">
        <v>1.2350999999999999</v>
      </c>
      <c r="R85" s="5">
        <v>82.339999999999989</v>
      </c>
    </row>
    <row r="86" spans="1:18" x14ac:dyDescent="0.25">
      <c r="A86" t="s">
        <v>206</v>
      </c>
      <c r="B86" s="7">
        <v>43783</v>
      </c>
      <c r="C86" t="str">
        <f>TEXT(Table3[[#This Row],[Order Date]],"yyyy")</f>
        <v>2019</v>
      </c>
      <c r="D86" t="s">
        <v>6239</v>
      </c>
      <c r="E86" t="s">
        <v>207</v>
      </c>
      <c r="F86" t="s">
        <v>89</v>
      </c>
      <c r="G86">
        <v>1</v>
      </c>
      <c r="H86" t="s">
        <v>2347</v>
      </c>
      <c r="I86" t="s">
        <v>6210</v>
      </c>
      <c r="J86" t="s">
        <v>2351</v>
      </c>
      <c r="K86" t="s">
        <v>1947</v>
      </c>
      <c r="L86" t="s">
        <v>6199</v>
      </c>
      <c r="M86" t="s">
        <v>6215</v>
      </c>
      <c r="N86">
        <v>0.5</v>
      </c>
      <c r="O86">
        <v>9.51</v>
      </c>
      <c r="P86">
        <v>1.9019999999999999</v>
      </c>
      <c r="Q86">
        <v>1.2363</v>
      </c>
      <c r="R86" s="5">
        <v>9.51</v>
      </c>
    </row>
    <row r="87" spans="1:18" x14ac:dyDescent="0.25">
      <c r="A87" t="s">
        <v>208</v>
      </c>
      <c r="B87" s="7">
        <v>43664</v>
      </c>
      <c r="C87" t="str">
        <f>TEXT(Table3[[#This Row],[Order Date]],"yyyy")</f>
        <v>2019</v>
      </c>
      <c r="D87" t="s">
        <v>6230</v>
      </c>
      <c r="E87" t="s">
        <v>209</v>
      </c>
      <c r="F87" t="s">
        <v>210</v>
      </c>
      <c r="G87">
        <v>3</v>
      </c>
      <c r="H87" t="s">
        <v>2352</v>
      </c>
      <c r="I87" t="s">
        <v>6210</v>
      </c>
      <c r="J87" t="s">
        <v>2262</v>
      </c>
      <c r="K87" t="s">
        <v>1947</v>
      </c>
      <c r="L87" t="s">
        <v>6213</v>
      </c>
      <c r="M87" t="s">
        <v>6215</v>
      </c>
      <c r="N87">
        <v>2.5</v>
      </c>
      <c r="O87">
        <v>29.784999999999997</v>
      </c>
      <c r="P87">
        <v>1.1913999999999998</v>
      </c>
      <c r="Q87">
        <v>2.6806499999999995</v>
      </c>
      <c r="R87" s="5">
        <v>89.35499999999999</v>
      </c>
    </row>
    <row r="88" spans="1:18" x14ac:dyDescent="0.25">
      <c r="A88" t="s">
        <v>208</v>
      </c>
      <c r="B88" s="7">
        <v>43664</v>
      </c>
      <c r="C88" t="str">
        <f>TEXT(Table3[[#This Row],[Order Date]],"yyyy")</f>
        <v>2019</v>
      </c>
      <c r="D88" t="s">
        <v>6230</v>
      </c>
      <c r="E88" t="s">
        <v>209</v>
      </c>
      <c r="F88" t="s">
        <v>60</v>
      </c>
      <c r="G88">
        <v>4</v>
      </c>
      <c r="H88" t="s">
        <v>2352</v>
      </c>
      <c r="I88" t="s">
        <v>6210</v>
      </c>
      <c r="J88" t="s">
        <v>2262</v>
      </c>
      <c r="K88" t="s">
        <v>1947</v>
      </c>
      <c r="L88" t="s">
        <v>6213</v>
      </c>
      <c r="M88" t="s">
        <v>6195</v>
      </c>
      <c r="N88">
        <v>0.2</v>
      </c>
      <c r="O88">
        <v>2.9849999999999999</v>
      </c>
      <c r="P88">
        <v>1.4924999999999999</v>
      </c>
      <c r="Q88">
        <v>0.26865</v>
      </c>
      <c r="R88" s="5">
        <v>11.94</v>
      </c>
    </row>
    <row r="89" spans="1:18" x14ac:dyDescent="0.25">
      <c r="A89" t="s">
        <v>211</v>
      </c>
      <c r="B89" s="7">
        <v>44289</v>
      </c>
      <c r="C89" t="str">
        <f>TEXT(Table3[[#This Row],[Order Date]],"yyyy")</f>
        <v>2021</v>
      </c>
      <c r="D89" t="s">
        <v>6236</v>
      </c>
      <c r="E89" t="s">
        <v>212</v>
      </c>
      <c r="F89" t="s">
        <v>67</v>
      </c>
      <c r="G89">
        <v>3</v>
      </c>
      <c r="H89" t="s">
        <v>2359</v>
      </c>
      <c r="I89" t="s">
        <v>6210</v>
      </c>
      <c r="J89" t="s">
        <v>2362</v>
      </c>
      <c r="K89" t="s">
        <v>1947</v>
      </c>
      <c r="L89" t="s">
        <v>6213</v>
      </c>
      <c r="M89" t="s">
        <v>6193</v>
      </c>
      <c r="N89">
        <v>1</v>
      </c>
      <c r="O89">
        <v>11.25</v>
      </c>
      <c r="P89">
        <v>1.125</v>
      </c>
      <c r="Q89">
        <v>1.0125</v>
      </c>
      <c r="R89" s="5">
        <v>33.75</v>
      </c>
    </row>
    <row r="90" spans="1:18" x14ac:dyDescent="0.25">
      <c r="A90" t="s">
        <v>213</v>
      </c>
      <c r="B90" s="7">
        <v>44284</v>
      </c>
      <c r="C90" t="str">
        <f>TEXT(Table3[[#This Row],[Order Date]],"yyyy")</f>
        <v>2021</v>
      </c>
      <c r="D90" t="s">
        <v>6234</v>
      </c>
      <c r="E90" t="s">
        <v>214</v>
      </c>
      <c r="F90" t="s">
        <v>195</v>
      </c>
      <c r="G90">
        <v>3</v>
      </c>
      <c r="H90" t="s">
        <v>2363</v>
      </c>
      <c r="I90" t="s">
        <v>6210</v>
      </c>
      <c r="J90" t="s">
        <v>2366</v>
      </c>
      <c r="K90" t="s">
        <v>1947</v>
      </c>
      <c r="L90" t="s">
        <v>6211</v>
      </c>
      <c r="M90" t="s">
        <v>6215</v>
      </c>
      <c r="N90">
        <v>1</v>
      </c>
      <c r="O90">
        <v>11.95</v>
      </c>
      <c r="P90">
        <v>1.1949999999999998</v>
      </c>
      <c r="Q90">
        <v>0.71699999999999997</v>
      </c>
      <c r="R90" s="5">
        <v>35.849999999999994</v>
      </c>
    </row>
    <row r="91" spans="1:18" x14ac:dyDescent="0.25">
      <c r="A91" t="s">
        <v>215</v>
      </c>
      <c r="B91" s="7">
        <v>44545</v>
      </c>
      <c r="C91" t="str">
        <f>TEXT(Table3[[#This Row],[Order Date]],"yyyy")</f>
        <v>2021</v>
      </c>
      <c r="D91" t="s">
        <v>6237</v>
      </c>
      <c r="E91" t="s">
        <v>216</v>
      </c>
      <c r="F91" t="s">
        <v>12</v>
      </c>
      <c r="G91">
        <v>6</v>
      </c>
      <c r="H91" t="s">
        <v>2367</v>
      </c>
      <c r="I91" t="s">
        <v>6210</v>
      </c>
      <c r="J91" t="s">
        <v>2371</v>
      </c>
      <c r="K91" t="s">
        <v>1947</v>
      </c>
      <c r="L91" t="s">
        <v>6213</v>
      </c>
      <c r="M91" t="s">
        <v>6215</v>
      </c>
      <c r="N91">
        <v>1</v>
      </c>
      <c r="O91">
        <v>12.95</v>
      </c>
      <c r="P91">
        <v>1.2949999999999999</v>
      </c>
      <c r="Q91">
        <v>1.1655</v>
      </c>
      <c r="R91" s="5">
        <v>77.699999999999989</v>
      </c>
    </row>
    <row r="92" spans="1:18" x14ac:dyDescent="0.25">
      <c r="A92" t="s">
        <v>217</v>
      </c>
      <c r="B92" s="7">
        <v>43971</v>
      </c>
      <c r="C92" t="str">
        <f>TEXT(Table3[[#This Row],[Order Date]],"yyyy")</f>
        <v>2020</v>
      </c>
      <c r="D92" t="s">
        <v>6233</v>
      </c>
      <c r="E92" t="s">
        <v>218</v>
      </c>
      <c r="F92" t="s">
        <v>12</v>
      </c>
      <c r="G92">
        <v>4</v>
      </c>
      <c r="H92" t="s">
        <v>2372</v>
      </c>
      <c r="I92" t="s">
        <v>1945</v>
      </c>
      <c r="J92" t="s">
        <v>1944</v>
      </c>
      <c r="K92" t="s">
        <v>1938</v>
      </c>
      <c r="L92" t="s">
        <v>6213</v>
      </c>
      <c r="M92" t="s">
        <v>6215</v>
      </c>
      <c r="N92">
        <v>1</v>
      </c>
      <c r="O92">
        <v>12.95</v>
      </c>
      <c r="P92">
        <v>1.2949999999999999</v>
      </c>
      <c r="Q92">
        <v>1.1655</v>
      </c>
      <c r="R92" s="5">
        <v>51.8</v>
      </c>
    </row>
    <row r="93" spans="1:18" x14ac:dyDescent="0.25">
      <c r="A93" t="s">
        <v>219</v>
      </c>
      <c r="B93" s="7">
        <v>44137</v>
      </c>
      <c r="C93" t="str">
        <f>TEXT(Table3[[#This Row],[Order Date]],"yyyy")</f>
        <v>2020</v>
      </c>
      <c r="D93" t="s">
        <v>6239</v>
      </c>
      <c r="E93" t="s">
        <v>220</v>
      </c>
      <c r="F93" t="s">
        <v>177</v>
      </c>
      <c r="G93">
        <v>4</v>
      </c>
      <c r="H93" t="s">
        <v>2375</v>
      </c>
      <c r="I93" t="s">
        <v>6210</v>
      </c>
      <c r="J93" t="s">
        <v>2379</v>
      </c>
      <c r="K93" t="s">
        <v>1947</v>
      </c>
      <c r="L93" t="s">
        <v>6213</v>
      </c>
      <c r="M93" t="s">
        <v>6193</v>
      </c>
      <c r="N93">
        <v>2.5</v>
      </c>
      <c r="O93">
        <v>25.874999999999996</v>
      </c>
      <c r="P93">
        <v>1.0349999999999999</v>
      </c>
      <c r="Q93">
        <v>2.3287499999999994</v>
      </c>
      <c r="R93" s="5">
        <v>103.49999999999999</v>
      </c>
    </row>
    <row r="94" spans="1:18" x14ac:dyDescent="0.25">
      <c r="A94" t="s">
        <v>221</v>
      </c>
      <c r="B94" s="7">
        <v>44037</v>
      </c>
      <c r="C94" t="str">
        <f>TEXT(Table3[[#This Row],[Order Date]],"yyyy")</f>
        <v>2020</v>
      </c>
      <c r="D94" t="s">
        <v>6230</v>
      </c>
      <c r="E94" t="s">
        <v>222</v>
      </c>
      <c r="F94" t="s">
        <v>143</v>
      </c>
      <c r="G94">
        <v>3</v>
      </c>
      <c r="H94" t="s">
        <v>2380</v>
      </c>
      <c r="I94" t="s">
        <v>6210</v>
      </c>
      <c r="J94" t="s">
        <v>2383</v>
      </c>
      <c r="K94" t="s">
        <v>1938</v>
      </c>
      <c r="L94" t="s">
        <v>6212</v>
      </c>
      <c r="M94" t="s">
        <v>6215</v>
      </c>
      <c r="N94">
        <v>1</v>
      </c>
      <c r="O94">
        <v>14.85</v>
      </c>
      <c r="P94">
        <v>1.4849999999999999</v>
      </c>
      <c r="Q94">
        <v>1.6335</v>
      </c>
      <c r="R94" s="5">
        <v>44.55</v>
      </c>
    </row>
    <row r="95" spans="1:18" x14ac:dyDescent="0.25">
      <c r="A95" t="s">
        <v>223</v>
      </c>
      <c r="B95" s="7">
        <v>43538</v>
      </c>
      <c r="C95" t="str">
        <f>TEXT(Table3[[#This Row],[Order Date]],"yyyy")</f>
        <v>2019</v>
      </c>
      <c r="D95" t="s">
        <v>6234</v>
      </c>
      <c r="E95" t="s">
        <v>224</v>
      </c>
      <c r="F95" t="s">
        <v>182</v>
      </c>
      <c r="G95">
        <v>4</v>
      </c>
      <c r="H95" t="s">
        <v>2384</v>
      </c>
      <c r="I95" t="s">
        <v>2112</v>
      </c>
      <c r="J95" t="s">
        <v>2388</v>
      </c>
      <c r="K95" t="s">
        <v>1938</v>
      </c>
      <c r="L95" t="s">
        <v>6212</v>
      </c>
      <c r="M95" t="s">
        <v>6215</v>
      </c>
      <c r="N95">
        <v>0.5</v>
      </c>
      <c r="O95">
        <v>8.91</v>
      </c>
      <c r="P95">
        <v>1.782</v>
      </c>
      <c r="Q95">
        <v>0.98009999999999997</v>
      </c>
      <c r="R95" s="5">
        <v>35.64</v>
      </c>
    </row>
    <row r="96" spans="1:18" x14ac:dyDescent="0.25">
      <c r="A96" t="s">
        <v>225</v>
      </c>
      <c r="B96" s="7">
        <v>44014</v>
      </c>
      <c r="C96" t="str">
        <f>TEXT(Table3[[#This Row],[Order Date]],"yyyy")</f>
        <v>2020</v>
      </c>
      <c r="D96" t="s">
        <v>6230</v>
      </c>
      <c r="E96" t="s">
        <v>226</v>
      </c>
      <c r="F96" t="s">
        <v>60</v>
      </c>
      <c r="G96">
        <v>6</v>
      </c>
      <c r="H96" t="s">
        <v>2390</v>
      </c>
      <c r="I96" t="s">
        <v>1945</v>
      </c>
      <c r="J96" t="s">
        <v>2392</v>
      </c>
      <c r="K96" t="s">
        <v>1938</v>
      </c>
      <c r="L96" t="s">
        <v>6213</v>
      </c>
      <c r="M96" t="s">
        <v>6195</v>
      </c>
      <c r="N96">
        <v>0.2</v>
      </c>
      <c r="O96">
        <v>2.9849999999999999</v>
      </c>
      <c r="P96">
        <v>1.4924999999999999</v>
      </c>
      <c r="Q96">
        <v>0.26865</v>
      </c>
      <c r="R96" s="5">
        <v>17.91</v>
      </c>
    </row>
    <row r="97" spans="1:18" x14ac:dyDescent="0.25">
      <c r="A97" t="s">
        <v>227</v>
      </c>
      <c r="B97" s="7">
        <v>43816</v>
      </c>
      <c r="C97" t="str">
        <f>TEXT(Table3[[#This Row],[Order Date]],"yyyy")</f>
        <v>2019</v>
      </c>
      <c r="D97" t="s">
        <v>6237</v>
      </c>
      <c r="E97" t="s">
        <v>228</v>
      </c>
      <c r="F97" t="s">
        <v>177</v>
      </c>
      <c r="G97">
        <v>6</v>
      </c>
      <c r="H97" t="s">
        <v>2394</v>
      </c>
      <c r="I97" t="s">
        <v>6210</v>
      </c>
      <c r="J97" t="s">
        <v>2351</v>
      </c>
      <c r="K97" t="s">
        <v>1947</v>
      </c>
      <c r="L97" t="s">
        <v>6213</v>
      </c>
      <c r="M97" t="s">
        <v>6193</v>
      </c>
      <c r="N97">
        <v>2.5</v>
      </c>
      <c r="O97">
        <v>25.874999999999996</v>
      </c>
      <c r="P97">
        <v>1.0349999999999999</v>
      </c>
      <c r="Q97">
        <v>2.3287499999999994</v>
      </c>
      <c r="R97" s="5">
        <v>155.24999999999997</v>
      </c>
    </row>
    <row r="98" spans="1:18" x14ac:dyDescent="0.25">
      <c r="A98" t="s">
        <v>229</v>
      </c>
      <c r="B98" s="7">
        <v>44171</v>
      </c>
      <c r="C98" t="str">
        <f>TEXT(Table3[[#This Row],[Order Date]],"yyyy")</f>
        <v>2020</v>
      </c>
      <c r="D98" t="s">
        <v>6237</v>
      </c>
      <c r="E98" t="s">
        <v>230</v>
      </c>
      <c r="F98" t="s">
        <v>60</v>
      </c>
      <c r="G98">
        <v>2</v>
      </c>
      <c r="H98" t="s">
        <v>2397</v>
      </c>
      <c r="I98" t="s">
        <v>6210</v>
      </c>
      <c r="J98" t="s">
        <v>2009</v>
      </c>
      <c r="K98" t="s">
        <v>1947</v>
      </c>
      <c r="L98" t="s">
        <v>6213</v>
      </c>
      <c r="M98" t="s">
        <v>6195</v>
      </c>
      <c r="N98">
        <v>0.2</v>
      </c>
      <c r="O98">
        <v>2.9849999999999999</v>
      </c>
      <c r="P98">
        <v>1.4924999999999999</v>
      </c>
      <c r="Q98">
        <v>0.26865</v>
      </c>
      <c r="R98" s="5">
        <v>5.97</v>
      </c>
    </row>
    <row r="99" spans="1:18" x14ac:dyDescent="0.25">
      <c r="A99" t="s">
        <v>231</v>
      </c>
      <c r="B99" s="7">
        <v>44259</v>
      </c>
      <c r="C99" t="str">
        <f>TEXT(Table3[[#This Row],[Order Date]],"yyyy")</f>
        <v>2021</v>
      </c>
      <c r="D99" t="s">
        <v>6234</v>
      </c>
      <c r="E99" t="s">
        <v>232</v>
      </c>
      <c r="F99" t="s">
        <v>73</v>
      </c>
      <c r="G99">
        <v>2</v>
      </c>
      <c r="H99" t="s">
        <v>2400</v>
      </c>
      <c r="I99" t="s">
        <v>6210</v>
      </c>
      <c r="J99" t="s">
        <v>2351</v>
      </c>
      <c r="K99" t="s">
        <v>1947</v>
      </c>
      <c r="L99" t="s">
        <v>6213</v>
      </c>
      <c r="M99" t="s">
        <v>6193</v>
      </c>
      <c r="N99">
        <v>0.5</v>
      </c>
      <c r="O99">
        <v>6.75</v>
      </c>
      <c r="P99">
        <v>1.35</v>
      </c>
      <c r="Q99">
        <v>0.60749999999999993</v>
      </c>
      <c r="R99" s="5">
        <v>13.5</v>
      </c>
    </row>
    <row r="100" spans="1:18" x14ac:dyDescent="0.25">
      <c r="A100" t="s">
        <v>233</v>
      </c>
      <c r="B100" s="7">
        <v>44394</v>
      </c>
      <c r="C100" t="str">
        <f>TEXT(Table3[[#This Row],[Order Date]],"yyyy")</f>
        <v>2021</v>
      </c>
      <c r="D100" t="s">
        <v>6230</v>
      </c>
      <c r="E100" t="s">
        <v>234</v>
      </c>
      <c r="F100" t="s">
        <v>60</v>
      </c>
      <c r="G100">
        <v>1</v>
      </c>
      <c r="H100" t="s">
        <v>2404</v>
      </c>
      <c r="I100" t="s">
        <v>1945</v>
      </c>
      <c r="J100" t="s">
        <v>2407</v>
      </c>
      <c r="K100" t="s">
        <v>1947</v>
      </c>
      <c r="L100" t="s">
        <v>6213</v>
      </c>
      <c r="M100" t="s">
        <v>6195</v>
      </c>
      <c r="N100">
        <v>0.2</v>
      </c>
      <c r="O100">
        <v>2.9849999999999999</v>
      </c>
      <c r="P100">
        <v>1.4924999999999999</v>
      </c>
      <c r="Q100">
        <v>0.26865</v>
      </c>
      <c r="R100" s="5">
        <v>2.9849999999999999</v>
      </c>
    </row>
    <row r="101" spans="1:18" x14ac:dyDescent="0.25">
      <c r="A101" t="s">
        <v>235</v>
      </c>
      <c r="B101" s="7">
        <v>44139</v>
      </c>
      <c r="C101" t="str">
        <f>TEXT(Table3[[#This Row],[Order Date]],"yyyy")</f>
        <v>2020</v>
      </c>
      <c r="D101" t="s">
        <v>6239</v>
      </c>
      <c r="E101" t="s">
        <v>236</v>
      </c>
      <c r="F101" t="s">
        <v>83</v>
      </c>
      <c r="G101">
        <v>3</v>
      </c>
      <c r="H101" t="s">
        <v>2409</v>
      </c>
      <c r="I101" t="s">
        <v>6210</v>
      </c>
      <c r="J101" t="s">
        <v>2283</v>
      </c>
      <c r="K101" t="s">
        <v>1938</v>
      </c>
      <c r="L101" t="s">
        <v>6199</v>
      </c>
      <c r="M101" t="s">
        <v>6193</v>
      </c>
      <c r="N101">
        <v>0.2</v>
      </c>
      <c r="O101">
        <v>4.3650000000000002</v>
      </c>
      <c r="P101">
        <v>2.1825000000000001</v>
      </c>
      <c r="Q101">
        <v>0.56745000000000001</v>
      </c>
      <c r="R101" s="5">
        <v>13.095000000000001</v>
      </c>
    </row>
    <row r="102" spans="1:18" x14ac:dyDescent="0.25">
      <c r="A102" t="s">
        <v>237</v>
      </c>
      <c r="B102" s="7">
        <v>44291</v>
      </c>
      <c r="C102" t="str">
        <f>TEXT(Table3[[#This Row],[Order Date]],"yyyy")</f>
        <v>2021</v>
      </c>
      <c r="D102" t="s">
        <v>6236</v>
      </c>
      <c r="E102" t="s">
        <v>238</v>
      </c>
      <c r="F102" t="s">
        <v>121</v>
      </c>
      <c r="G102">
        <v>2</v>
      </c>
      <c r="H102" t="s">
        <v>2412</v>
      </c>
      <c r="I102" t="s">
        <v>6210</v>
      </c>
      <c r="J102" t="s">
        <v>2415</v>
      </c>
      <c r="K102" t="s">
        <v>1938</v>
      </c>
      <c r="L102" t="s">
        <v>6213</v>
      </c>
      <c r="M102" t="s">
        <v>6215</v>
      </c>
      <c r="N102">
        <v>0.2</v>
      </c>
      <c r="O102">
        <v>3.8849999999999998</v>
      </c>
      <c r="P102">
        <v>1.9424999999999999</v>
      </c>
      <c r="Q102">
        <v>0.34964999999999996</v>
      </c>
      <c r="R102" s="5">
        <v>7.77</v>
      </c>
    </row>
    <row r="103" spans="1:18" x14ac:dyDescent="0.25">
      <c r="A103" t="s">
        <v>239</v>
      </c>
      <c r="B103" s="7">
        <v>43891</v>
      </c>
      <c r="C103" t="str">
        <f>TEXT(Table3[[#This Row],[Order Date]],"yyyy")</f>
        <v>2020</v>
      </c>
      <c r="D103" t="s">
        <v>6234</v>
      </c>
      <c r="E103" t="s">
        <v>240</v>
      </c>
      <c r="F103" t="s">
        <v>115</v>
      </c>
      <c r="G103">
        <v>5</v>
      </c>
      <c r="H103" t="s">
        <v>2416</v>
      </c>
      <c r="I103" t="s">
        <v>1945</v>
      </c>
      <c r="J103" t="s">
        <v>2420</v>
      </c>
      <c r="K103" t="s">
        <v>1938</v>
      </c>
      <c r="L103" t="s">
        <v>6199</v>
      </c>
      <c r="M103" t="s">
        <v>6195</v>
      </c>
      <c r="N103">
        <v>2.5</v>
      </c>
      <c r="O103">
        <v>29.784999999999997</v>
      </c>
      <c r="P103">
        <v>1.1913999999999998</v>
      </c>
      <c r="Q103">
        <v>3.8720499999999998</v>
      </c>
      <c r="R103" s="5">
        <v>148.92499999999998</v>
      </c>
    </row>
    <row r="104" spans="1:18" x14ac:dyDescent="0.25">
      <c r="A104" t="s">
        <v>241</v>
      </c>
      <c r="B104" s="7">
        <v>44488</v>
      </c>
      <c r="C104" t="str">
        <f>TEXT(Table3[[#This Row],[Order Date]],"yyyy")</f>
        <v>2021</v>
      </c>
      <c r="D104" t="s">
        <v>6235</v>
      </c>
      <c r="E104" t="s">
        <v>242</v>
      </c>
      <c r="F104" t="s">
        <v>19</v>
      </c>
      <c r="G104">
        <v>3</v>
      </c>
      <c r="H104" t="s">
        <v>2422</v>
      </c>
      <c r="I104" t="s">
        <v>1945</v>
      </c>
      <c r="J104" t="s">
        <v>2426</v>
      </c>
      <c r="K104" t="s">
        <v>1938</v>
      </c>
      <c r="L104" t="s">
        <v>6199</v>
      </c>
      <c r="M104" t="s">
        <v>6195</v>
      </c>
      <c r="N104">
        <v>1</v>
      </c>
      <c r="O104">
        <v>12.95</v>
      </c>
      <c r="P104">
        <v>1.2949999999999999</v>
      </c>
      <c r="Q104">
        <v>1.6835</v>
      </c>
      <c r="R104" s="5">
        <v>38.849999999999994</v>
      </c>
    </row>
    <row r="105" spans="1:18" x14ac:dyDescent="0.25">
      <c r="A105" t="s">
        <v>243</v>
      </c>
      <c r="B105" s="7">
        <v>44750</v>
      </c>
      <c r="C105" t="str">
        <f>TEXT(Table3[[#This Row],[Order Date]],"yyyy")</f>
        <v>2022</v>
      </c>
      <c r="D105" t="s">
        <v>6230</v>
      </c>
      <c r="E105" t="s">
        <v>244</v>
      </c>
      <c r="F105" t="s">
        <v>168</v>
      </c>
      <c r="G105">
        <v>4</v>
      </c>
      <c r="H105" t="s">
        <v>2427</v>
      </c>
      <c r="I105" t="s">
        <v>6210</v>
      </c>
      <c r="J105" t="s">
        <v>2159</v>
      </c>
      <c r="K105" t="s">
        <v>1947</v>
      </c>
      <c r="L105" t="s">
        <v>6211</v>
      </c>
      <c r="M105" t="s">
        <v>6193</v>
      </c>
      <c r="N105">
        <v>0.2</v>
      </c>
      <c r="O105">
        <v>2.9849999999999999</v>
      </c>
      <c r="P105">
        <v>1.4924999999999999</v>
      </c>
      <c r="Q105">
        <v>0.17909999999999998</v>
      </c>
      <c r="R105" s="5">
        <v>11.94</v>
      </c>
    </row>
    <row r="106" spans="1:18" x14ac:dyDescent="0.25">
      <c r="A106" t="s">
        <v>245</v>
      </c>
      <c r="B106" s="7">
        <v>43694</v>
      </c>
      <c r="C106" t="str">
        <f>TEXT(Table3[[#This Row],[Order Date]],"yyyy")</f>
        <v>2019</v>
      </c>
      <c r="D106" t="s">
        <v>6231</v>
      </c>
      <c r="E106" t="s">
        <v>246</v>
      </c>
      <c r="F106" t="s">
        <v>102</v>
      </c>
      <c r="G106">
        <v>6</v>
      </c>
      <c r="H106" t="s">
        <v>2431</v>
      </c>
      <c r="I106" t="s">
        <v>6210</v>
      </c>
      <c r="J106" t="s">
        <v>2435</v>
      </c>
      <c r="K106" t="s">
        <v>1947</v>
      </c>
      <c r="L106" t="s">
        <v>6199</v>
      </c>
      <c r="M106" t="s">
        <v>6193</v>
      </c>
      <c r="N106">
        <v>1</v>
      </c>
      <c r="O106">
        <v>14.55</v>
      </c>
      <c r="P106">
        <v>1.4550000000000001</v>
      </c>
      <c r="Q106">
        <v>1.8915000000000002</v>
      </c>
      <c r="R106" s="5">
        <v>87.300000000000011</v>
      </c>
    </row>
    <row r="107" spans="1:18" x14ac:dyDescent="0.25">
      <c r="A107" t="s">
        <v>247</v>
      </c>
      <c r="B107" s="7">
        <v>43982</v>
      </c>
      <c r="C107" t="str">
        <f>TEXT(Table3[[#This Row],[Order Date]],"yyyy")</f>
        <v>2020</v>
      </c>
      <c r="D107" t="s">
        <v>6233</v>
      </c>
      <c r="E107" t="s">
        <v>248</v>
      </c>
      <c r="F107" t="s">
        <v>73</v>
      </c>
      <c r="G107">
        <v>6</v>
      </c>
      <c r="H107" t="s">
        <v>2436</v>
      </c>
      <c r="I107" t="s">
        <v>6210</v>
      </c>
      <c r="J107" t="s">
        <v>2023</v>
      </c>
      <c r="K107" t="s">
        <v>1938</v>
      </c>
      <c r="L107" t="s">
        <v>6213</v>
      </c>
      <c r="M107" t="s">
        <v>6193</v>
      </c>
      <c r="N107">
        <v>0.5</v>
      </c>
      <c r="O107">
        <v>6.75</v>
      </c>
      <c r="P107">
        <v>1.35</v>
      </c>
      <c r="Q107">
        <v>0.60749999999999993</v>
      </c>
      <c r="R107" s="5">
        <v>40.5</v>
      </c>
    </row>
    <row r="108" spans="1:18" x14ac:dyDescent="0.25">
      <c r="A108" t="s">
        <v>249</v>
      </c>
      <c r="B108" s="7">
        <v>43956</v>
      </c>
      <c r="C108" t="str">
        <f>TEXT(Table3[[#This Row],[Order Date]],"yyyy")</f>
        <v>2020</v>
      </c>
      <c r="D108" t="s">
        <v>6233</v>
      </c>
      <c r="E108" t="s">
        <v>250</v>
      </c>
      <c r="F108" t="s">
        <v>251</v>
      </c>
      <c r="G108">
        <v>2</v>
      </c>
      <c r="H108" t="s">
        <v>2440</v>
      </c>
      <c r="I108" t="s">
        <v>6210</v>
      </c>
      <c r="J108" t="s">
        <v>2444</v>
      </c>
      <c r="K108" t="s">
        <v>1947</v>
      </c>
      <c r="L108" t="s">
        <v>6212</v>
      </c>
      <c r="M108" t="s">
        <v>6195</v>
      </c>
      <c r="N108">
        <v>1</v>
      </c>
      <c r="O108">
        <v>12.15</v>
      </c>
      <c r="P108">
        <v>1.2150000000000001</v>
      </c>
      <c r="Q108">
        <v>1.3365</v>
      </c>
      <c r="R108" s="5">
        <v>24.3</v>
      </c>
    </row>
    <row r="109" spans="1:18" x14ac:dyDescent="0.25">
      <c r="A109" t="s">
        <v>252</v>
      </c>
      <c r="B109" s="7">
        <v>43569</v>
      </c>
      <c r="C109" t="str">
        <f>TEXT(Table3[[#This Row],[Order Date]],"yyyy")</f>
        <v>2019</v>
      </c>
      <c r="D109" t="s">
        <v>6236</v>
      </c>
      <c r="E109" t="s">
        <v>253</v>
      </c>
      <c r="F109" t="s">
        <v>28</v>
      </c>
      <c r="G109">
        <v>3</v>
      </c>
      <c r="H109" t="s">
        <v>2445</v>
      </c>
      <c r="I109" t="s">
        <v>6210</v>
      </c>
      <c r="J109" t="s">
        <v>2336</v>
      </c>
      <c r="K109" t="s">
        <v>1938</v>
      </c>
      <c r="L109" t="s">
        <v>6211</v>
      </c>
      <c r="M109" t="s">
        <v>6193</v>
      </c>
      <c r="N109">
        <v>0.5</v>
      </c>
      <c r="O109">
        <v>5.97</v>
      </c>
      <c r="P109">
        <v>1.194</v>
      </c>
      <c r="Q109">
        <v>0.35819999999999996</v>
      </c>
      <c r="R109" s="5">
        <v>17.91</v>
      </c>
    </row>
    <row r="110" spans="1:18" x14ac:dyDescent="0.25">
      <c r="A110" t="s">
        <v>254</v>
      </c>
      <c r="B110" s="7">
        <v>44041</v>
      </c>
      <c r="C110" t="str">
        <f>TEXT(Table3[[#This Row],[Order Date]],"yyyy")</f>
        <v>2020</v>
      </c>
      <c r="D110" t="s">
        <v>6230</v>
      </c>
      <c r="E110" t="s">
        <v>255</v>
      </c>
      <c r="F110" t="s">
        <v>73</v>
      </c>
      <c r="G110">
        <v>4</v>
      </c>
      <c r="H110" t="s">
        <v>2449</v>
      </c>
      <c r="I110" t="s">
        <v>6210</v>
      </c>
      <c r="J110" t="s">
        <v>2234</v>
      </c>
      <c r="K110" t="s">
        <v>1947</v>
      </c>
      <c r="L110" t="s">
        <v>6213</v>
      </c>
      <c r="M110" t="s">
        <v>6193</v>
      </c>
      <c r="N110">
        <v>0.5</v>
      </c>
      <c r="O110">
        <v>6.75</v>
      </c>
      <c r="P110">
        <v>1.35</v>
      </c>
      <c r="Q110">
        <v>0.60749999999999993</v>
      </c>
      <c r="R110" s="5">
        <v>27</v>
      </c>
    </row>
    <row r="111" spans="1:18" x14ac:dyDescent="0.25">
      <c r="A111" t="s">
        <v>256</v>
      </c>
      <c r="B111" s="7">
        <v>43811</v>
      </c>
      <c r="C111" t="str">
        <f>TEXT(Table3[[#This Row],[Order Date]],"yyyy")</f>
        <v>2019</v>
      </c>
      <c r="D111" t="s">
        <v>6237</v>
      </c>
      <c r="E111" t="s">
        <v>257</v>
      </c>
      <c r="F111" t="s">
        <v>129</v>
      </c>
      <c r="G111">
        <v>1</v>
      </c>
      <c r="H111" t="s">
        <v>2452</v>
      </c>
      <c r="I111" t="s">
        <v>6210</v>
      </c>
      <c r="J111" t="s">
        <v>2456</v>
      </c>
      <c r="K111" t="s">
        <v>1938</v>
      </c>
      <c r="L111" t="s">
        <v>6199</v>
      </c>
      <c r="M111" t="s">
        <v>6195</v>
      </c>
      <c r="N111">
        <v>0.5</v>
      </c>
      <c r="O111">
        <v>7.77</v>
      </c>
      <c r="P111">
        <v>1.5539999999999998</v>
      </c>
      <c r="Q111">
        <v>1.0101</v>
      </c>
      <c r="R111" s="5">
        <v>7.77</v>
      </c>
    </row>
    <row r="112" spans="1:18" x14ac:dyDescent="0.25">
      <c r="A112" t="s">
        <v>258</v>
      </c>
      <c r="B112" s="7">
        <v>44727</v>
      </c>
      <c r="C112" t="str">
        <f>TEXT(Table3[[#This Row],[Order Date]],"yyyy")</f>
        <v>2022</v>
      </c>
      <c r="D112" t="s">
        <v>6229</v>
      </c>
      <c r="E112" t="s">
        <v>259</v>
      </c>
      <c r="F112" t="s">
        <v>260</v>
      </c>
      <c r="G112">
        <v>3</v>
      </c>
      <c r="H112" t="s">
        <v>2457</v>
      </c>
      <c r="I112" t="s">
        <v>6210</v>
      </c>
      <c r="J112" t="s">
        <v>1958</v>
      </c>
      <c r="K112" t="s">
        <v>1938</v>
      </c>
      <c r="L112" t="s">
        <v>6212</v>
      </c>
      <c r="M112" t="s">
        <v>6215</v>
      </c>
      <c r="N112">
        <v>0.2</v>
      </c>
      <c r="O112">
        <v>4.4550000000000001</v>
      </c>
      <c r="P112">
        <v>2.2275</v>
      </c>
      <c r="Q112">
        <v>0.49004999999999999</v>
      </c>
      <c r="R112" s="5">
        <v>13.365</v>
      </c>
    </row>
    <row r="113" spans="1:18" x14ac:dyDescent="0.25">
      <c r="A113" t="s">
        <v>261</v>
      </c>
      <c r="B113" s="7">
        <v>43642</v>
      </c>
      <c r="C113" t="str">
        <f>TEXT(Table3[[#This Row],[Order Date]],"yyyy")</f>
        <v>2019</v>
      </c>
      <c r="D113" t="s">
        <v>6229</v>
      </c>
      <c r="E113" t="s">
        <v>262</v>
      </c>
      <c r="F113" t="s">
        <v>152</v>
      </c>
      <c r="G113">
        <v>5</v>
      </c>
      <c r="H113" t="s">
        <v>2461</v>
      </c>
      <c r="I113" t="s">
        <v>6210</v>
      </c>
      <c r="J113" t="s">
        <v>2221</v>
      </c>
      <c r="K113" t="s">
        <v>1947</v>
      </c>
      <c r="L113" t="s">
        <v>6211</v>
      </c>
      <c r="M113" t="s">
        <v>6195</v>
      </c>
      <c r="N113">
        <v>0.5</v>
      </c>
      <c r="O113">
        <v>5.3699999999999992</v>
      </c>
      <c r="P113">
        <v>1.0739999999999998</v>
      </c>
      <c r="Q113">
        <v>0.32219999999999993</v>
      </c>
      <c r="R113" s="5">
        <v>26.849999999999994</v>
      </c>
    </row>
    <row r="114" spans="1:18" x14ac:dyDescent="0.25">
      <c r="A114" t="s">
        <v>263</v>
      </c>
      <c r="B114" s="7">
        <v>44481</v>
      </c>
      <c r="C114" t="str">
        <f>TEXT(Table3[[#This Row],[Order Date]],"yyyy")</f>
        <v>2021</v>
      </c>
      <c r="D114" t="s">
        <v>6235</v>
      </c>
      <c r="E114" t="s">
        <v>264</v>
      </c>
      <c r="F114" t="s">
        <v>67</v>
      </c>
      <c r="G114">
        <v>1</v>
      </c>
      <c r="H114" t="s">
        <v>2464</v>
      </c>
      <c r="I114" t="s">
        <v>6210</v>
      </c>
      <c r="J114" t="s">
        <v>2000</v>
      </c>
      <c r="K114" t="s">
        <v>1947</v>
      </c>
      <c r="L114" t="s">
        <v>6213</v>
      </c>
      <c r="M114" t="s">
        <v>6193</v>
      </c>
      <c r="N114">
        <v>1</v>
      </c>
      <c r="O114">
        <v>11.25</v>
      </c>
      <c r="P114">
        <v>1.125</v>
      </c>
      <c r="Q114">
        <v>1.0125</v>
      </c>
      <c r="R114" s="5">
        <v>11.25</v>
      </c>
    </row>
    <row r="115" spans="1:18" x14ac:dyDescent="0.25">
      <c r="A115" t="s">
        <v>265</v>
      </c>
      <c r="B115" s="7">
        <v>43556</v>
      </c>
      <c r="C115" t="str">
        <f>TEXT(Table3[[#This Row],[Order Date]],"yyyy")</f>
        <v>2019</v>
      </c>
      <c r="D115" t="s">
        <v>6236</v>
      </c>
      <c r="E115" t="s">
        <v>266</v>
      </c>
      <c r="F115" t="s">
        <v>102</v>
      </c>
      <c r="G115">
        <v>1</v>
      </c>
      <c r="H115" t="s">
        <v>2468</v>
      </c>
      <c r="I115" t="s">
        <v>1945</v>
      </c>
      <c r="J115" t="s">
        <v>2472</v>
      </c>
      <c r="K115" t="s">
        <v>1947</v>
      </c>
      <c r="L115" t="s">
        <v>6199</v>
      </c>
      <c r="M115" t="s">
        <v>6193</v>
      </c>
      <c r="N115">
        <v>1</v>
      </c>
      <c r="O115">
        <v>14.55</v>
      </c>
      <c r="P115">
        <v>1.4550000000000001</v>
      </c>
      <c r="Q115">
        <v>1.8915000000000002</v>
      </c>
      <c r="R115" s="5">
        <v>14.55</v>
      </c>
    </row>
    <row r="116" spans="1:18" x14ac:dyDescent="0.25">
      <c r="A116" t="s">
        <v>267</v>
      </c>
      <c r="B116" s="7">
        <v>44265</v>
      </c>
      <c r="C116" t="str">
        <f>TEXT(Table3[[#This Row],[Order Date]],"yyyy")</f>
        <v>2021</v>
      </c>
      <c r="D116" t="s">
        <v>6234</v>
      </c>
      <c r="E116" t="s">
        <v>268</v>
      </c>
      <c r="F116" t="s">
        <v>188</v>
      </c>
      <c r="G116">
        <v>4</v>
      </c>
      <c r="H116" t="s">
        <v>2474</v>
      </c>
      <c r="I116" t="s">
        <v>6210</v>
      </c>
      <c r="J116" t="s">
        <v>2477</v>
      </c>
      <c r="K116" t="s">
        <v>1947</v>
      </c>
      <c r="L116" t="s">
        <v>6211</v>
      </c>
      <c r="M116" t="s">
        <v>6215</v>
      </c>
      <c r="N116">
        <v>0.2</v>
      </c>
      <c r="O116">
        <v>3.5849999999999995</v>
      </c>
      <c r="P116">
        <v>1.7924999999999998</v>
      </c>
      <c r="Q116">
        <v>0.21509999999999996</v>
      </c>
      <c r="R116" s="5">
        <v>14.339999999999998</v>
      </c>
    </row>
    <row r="117" spans="1:18" x14ac:dyDescent="0.25">
      <c r="A117" t="s">
        <v>269</v>
      </c>
      <c r="B117" s="7">
        <v>43693</v>
      </c>
      <c r="C117" t="str">
        <f>TEXT(Table3[[#This Row],[Order Date]],"yyyy")</f>
        <v>2019</v>
      </c>
      <c r="D117" t="s">
        <v>6231</v>
      </c>
      <c r="E117" t="s">
        <v>270</v>
      </c>
      <c r="F117" t="s">
        <v>138</v>
      </c>
      <c r="G117">
        <v>1</v>
      </c>
      <c r="H117" t="s">
        <v>2478</v>
      </c>
      <c r="I117" t="s">
        <v>2112</v>
      </c>
      <c r="J117" t="s">
        <v>2168</v>
      </c>
      <c r="K117" t="s">
        <v>1947</v>
      </c>
      <c r="L117" t="s">
        <v>6199</v>
      </c>
      <c r="M117" t="s">
        <v>6215</v>
      </c>
      <c r="N117">
        <v>1</v>
      </c>
      <c r="O117">
        <v>15.85</v>
      </c>
      <c r="P117">
        <v>1.585</v>
      </c>
      <c r="Q117">
        <v>2.0605000000000002</v>
      </c>
      <c r="R117" s="5">
        <v>15.85</v>
      </c>
    </row>
    <row r="118" spans="1:18" x14ac:dyDescent="0.25">
      <c r="A118" t="s">
        <v>271</v>
      </c>
      <c r="B118" s="7">
        <v>44054</v>
      </c>
      <c r="C118" t="str">
        <f>TEXT(Table3[[#This Row],[Order Date]],"yyyy")</f>
        <v>2020</v>
      </c>
      <c r="D118" t="s">
        <v>6231</v>
      </c>
      <c r="E118" t="s">
        <v>272</v>
      </c>
      <c r="F118" t="s">
        <v>25</v>
      </c>
      <c r="G118">
        <v>4</v>
      </c>
      <c r="H118" t="s">
        <v>2483</v>
      </c>
      <c r="I118" t="s">
        <v>1945</v>
      </c>
      <c r="J118" t="s">
        <v>2487</v>
      </c>
      <c r="K118" t="s">
        <v>1938</v>
      </c>
      <c r="L118" t="s">
        <v>6199</v>
      </c>
      <c r="M118" t="s">
        <v>6215</v>
      </c>
      <c r="N118">
        <v>0.2</v>
      </c>
      <c r="O118">
        <v>4.7549999999999999</v>
      </c>
      <c r="P118">
        <v>2.3774999999999999</v>
      </c>
      <c r="Q118">
        <v>0.61814999999999998</v>
      </c>
      <c r="R118" s="5">
        <v>19.02</v>
      </c>
    </row>
    <row r="119" spans="1:18" x14ac:dyDescent="0.25">
      <c r="A119" t="s">
        <v>273</v>
      </c>
      <c r="B119" s="7">
        <v>44656</v>
      </c>
      <c r="C119" t="str">
        <f>TEXT(Table3[[#This Row],[Order Date]],"yyyy")</f>
        <v>2022</v>
      </c>
      <c r="D119" t="s">
        <v>6236</v>
      </c>
      <c r="E119" t="s">
        <v>274</v>
      </c>
      <c r="F119" t="s">
        <v>89</v>
      </c>
      <c r="G119">
        <v>4</v>
      </c>
      <c r="H119" t="s">
        <v>2489</v>
      </c>
      <c r="I119" t="s">
        <v>6210</v>
      </c>
      <c r="J119" t="s">
        <v>1972</v>
      </c>
      <c r="K119" t="s">
        <v>1947</v>
      </c>
      <c r="L119" t="s">
        <v>6199</v>
      </c>
      <c r="M119" t="s">
        <v>6215</v>
      </c>
      <c r="N119">
        <v>0.5</v>
      </c>
      <c r="O119">
        <v>9.51</v>
      </c>
      <c r="P119">
        <v>1.9019999999999999</v>
      </c>
      <c r="Q119">
        <v>1.2363</v>
      </c>
      <c r="R119" s="5">
        <v>38.04</v>
      </c>
    </row>
    <row r="120" spans="1:18" x14ac:dyDescent="0.25">
      <c r="A120" t="s">
        <v>275</v>
      </c>
      <c r="B120" s="7">
        <v>43760</v>
      </c>
      <c r="C120" t="str">
        <f>TEXT(Table3[[#This Row],[Order Date]],"yyyy")</f>
        <v>2019</v>
      </c>
      <c r="D120" t="s">
        <v>6235</v>
      </c>
      <c r="E120" t="s">
        <v>276</v>
      </c>
      <c r="F120" t="s">
        <v>22</v>
      </c>
      <c r="G120">
        <v>3</v>
      </c>
      <c r="H120" t="s">
        <v>2493</v>
      </c>
      <c r="I120" t="s">
        <v>6210</v>
      </c>
      <c r="J120" t="s">
        <v>2497</v>
      </c>
      <c r="K120" t="s">
        <v>1938</v>
      </c>
      <c r="L120" t="s">
        <v>6212</v>
      </c>
      <c r="M120" t="s">
        <v>6195</v>
      </c>
      <c r="N120">
        <v>0.5</v>
      </c>
      <c r="O120">
        <v>7.29</v>
      </c>
      <c r="P120">
        <v>1.458</v>
      </c>
      <c r="Q120">
        <v>0.80190000000000006</v>
      </c>
      <c r="R120" s="5">
        <v>21.87</v>
      </c>
    </row>
    <row r="121" spans="1:18" x14ac:dyDescent="0.25">
      <c r="A121" t="s">
        <v>277</v>
      </c>
      <c r="B121" s="7">
        <v>44471</v>
      </c>
      <c r="C121" t="str">
        <f>TEXT(Table3[[#This Row],[Order Date]],"yyyy")</f>
        <v>2021</v>
      </c>
      <c r="D121" t="s">
        <v>6235</v>
      </c>
      <c r="E121" t="s">
        <v>278</v>
      </c>
      <c r="F121" t="s">
        <v>70</v>
      </c>
      <c r="G121">
        <v>1</v>
      </c>
      <c r="H121" t="s">
        <v>2498</v>
      </c>
      <c r="I121" t="s">
        <v>6210</v>
      </c>
      <c r="J121" t="s">
        <v>2502</v>
      </c>
      <c r="K121" t="s">
        <v>1947</v>
      </c>
      <c r="L121" t="s">
        <v>6212</v>
      </c>
      <c r="M121" t="s">
        <v>6193</v>
      </c>
      <c r="N121">
        <v>0.2</v>
      </c>
      <c r="O121">
        <v>4.125</v>
      </c>
      <c r="P121">
        <v>2.0625</v>
      </c>
      <c r="Q121">
        <v>0.45374999999999999</v>
      </c>
      <c r="R121" s="5">
        <v>4.125</v>
      </c>
    </row>
    <row r="122" spans="1:18" x14ac:dyDescent="0.25">
      <c r="A122" t="s">
        <v>277</v>
      </c>
      <c r="B122" s="7">
        <v>44471</v>
      </c>
      <c r="C122" t="str">
        <f>TEXT(Table3[[#This Row],[Order Date]],"yyyy")</f>
        <v>2021</v>
      </c>
      <c r="D122" t="s">
        <v>6235</v>
      </c>
      <c r="E122" t="s">
        <v>278</v>
      </c>
      <c r="F122" t="s">
        <v>121</v>
      </c>
      <c r="G122">
        <v>1</v>
      </c>
      <c r="H122" t="s">
        <v>2498</v>
      </c>
      <c r="I122" t="s">
        <v>6210</v>
      </c>
      <c r="J122" t="s">
        <v>2502</v>
      </c>
      <c r="K122" t="s">
        <v>1947</v>
      </c>
      <c r="L122" t="s">
        <v>6213</v>
      </c>
      <c r="M122" t="s">
        <v>6215</v>
      </c>
      <c r="N122">
        <v>0.2</v>
      </c>
      <c r="O122">
        <v>3.8849999999999998</v>
      </c>
      <c r="P122">
        <v>1.9424999999999999</v>
      </c>
      <c r="Q122">
        <v>0.34964999999999996</v>
      </c>
      <c r="R122" s="5">
        <v>3.8849999999999998</v>
      </c>
    </row>
    <row r="123" spans="1:18" x14ac:dyDescent="0.25">
      <c r="A123" t="s">
        <v>277</v>
      </c>
      <c r="B123" s="7">
        <v>44471</v>
      </c>
      <c r="C123" t="str">
        <f>TEXT(Table3[[#This Row],[Order Date]],"yyyy")</f>
        <v>2021</v>
      </c>
      <c r="D123" t="s">
        <v>6235</v>
      </c>
      <c r="E123" t="s">
        <v>278</v>
      </c>
      <c r="F123" t="s">
        <v>15</v>
      </c>
      <c r="G123">
        <v>5</v>
      </c>
      <c r="H123" t="s">
        <v>2498</v>
      </c>
      <c r="I123" t="s">
        <v>6210</v>
      </c>
      <c r="J123" t="s">
        <v>2502</v>
      </c>
      <c r="K123" t="s">
        <v>1947</v>
      </c>
      <c r="L123" t="s">
        <v>6212</v>
      </c>
      <c r="M123" t="s">
        <v>6193</v>
      </c>
      <c r="N123">
        <v>1</v>
      </c>
      <c r="O123">
        <v>13.75</v>
      </c>
      <c r="P123">
        <v>1.375</v>
      </c>
      <c r="Q123">
        <v>1.5125</v>
      </c>
      <c r="R123" s="5">
        <v>68.75</v>
      </c>
    </row>
    <row r="124" spans="1:18" x14ac:dyDescent="0.25">
      <c r="A124" t="s">
        <v>279</v>
      </c>
      <c r="B124" s="7">
        <v>44268</v>
      </c>
      <c r="C124" t="str">
        <f>TEXT(Table3[[#This Row],[Order Date]],"yyyy")</f>
        <v>2021</v>
      </c>
      <c r="D124" t="s">
        <v>6234</v>
      </c>
      <c r="E124" t="s">
        <v>280</v>
      </c>
      <c r="F124" t="s">
        <v>78</v>
      </c>
      <c r="G124">
        <v>4</v>
      </c>
      <c r="H124" t="s">
        <v>2513</v>
      </c>
      <c r="I124" t="s">
        <v>6210</v>
      </c>
      <c r="J124" t="s">
        <v>2128</v>
      </c>
      <c r="K124" t="s">
        <v>1938</v>
      </c>
      <c r="L124" t="s">
        <v>6213</v>
      </c>
      <c r="M124" t="s">
        <v>6195</v>
      </c>
      <c r="N124">
        <v>0.5</v>
      </c>
      <c r="O124">
        <v>5.97</v>
      </c>
      <c r="P124">
        <v>1.194</v>
      </c>
      <c r="Q124">
        <v>0.5373</v>
      </c>
      <c r="R124" s="5">
        <v>23.88</v>
      </c>
    </row>
    <row r="125" spans="1:18" x14ac:dyDescent="0.25">
      <c r="A125" t="s">
        <v>281</v>
      </c>
      <c r="B125" s="7">
        <v>44724</v>
      </c>
      <c r="C125" t="str">
        <f>TEXT(Table3[[#This Row],[Order Date]],"yyyy")</f>
        <v>2022</v>
      </c>
      <c r="D125" t="s">
        <v>6229</v>
      </c>
      <c r="E125" t="s">
        <v>282</v>
      </c>
      <c r="F125" t="s">
        <v>110</v>
      </c>
      <c r="G125">
        <v>4</v>
      </c>
      <c r="H125" t="s">
        <v>2517</v>
      </c>
      <c r="I125" t="s">
        <v>6210</v>
      </c>
      <c r="J125" t="s">
        <v>2521</v>
      </c>
      <c r="K125" t="s">
        <v>1947</v>
      </c>
      <c r="L125" t="s">
        <v>6199</v>
      </c>
      <c r="M125" t="s">
        <v>6215</v>
      </c>
      <c r="N125">
        <v>2.5</v>
      </c>
      <c r="O125">
        <v>36.454999999999998</v>
      </c>
      <c r="P125">
        <v>1.4581999999999999</v>
      </c>
      <c r="Q125">
        <v>4.7391499999999995</v>
      </c>
      <c r="R125" s="5">
        <v>145.82</v>
      </c>
    </row>
    <row r="126" spans="1:18" x14ac:dyDescent="0.25">
      <c r="A126" t="s">
        <v>283</v>
      </c>
      <c r="B126" s="7">
        <v>43582</v>
      </c>
      <c r="C126" t="str">
        <f>TEXT(Table3[[#This Row],[Order Date]],"yyyy")</f>
        <v>2019</v>
      </c>
      <c r="D126" t="s">
        <v>6236</v>
      </c>
      <c r="E126" t="s">
        <v>284</v>
      </c>
      <c r="F126" t="s">
        <v>83</v>
      </c>
      <c r="G126">
        <v>5</v>
      </c>
      <c r="H126" t="s">
        <v>2522</v>
      </c>
      <c r="I126" t="s">
        <v>6210</v>
      </c>
      <c r="J126" t="s">
        <v>2526</v>
      </c>
      <c r="K126" t="s">
        <v>1938</v>
      </c>
      <c r="L126" t="s">
        <v>6199</v>
      </c>
      <c r="M126" t="s">
        <v>6193</v>
      </c>
      <c r="N126">
        <v>0.2</v>
      </c>
      <c r="O126">
        <v>4.3650000000000002</v>
      </c>
      <c r="P126">
        <v>2.1825000000000001</v>
      </c>
      <c r="Q126">
        <v>0.56745000000000001</v>
      </c>
      <c r="R126" s="5">
        <v>21.825000000000003</v>
      </c>
    </row>
    <row r="127" spans="1:18" x14ac:dyDescent="0.25">
      <c r="A127" t="s">
        <v>285</v>
      </c>
      <c r="B127" s="7">
        <v>43608</v>
      </c>
      <c r="C127" t="str">
        <f>TEXT(Table3[[#This Row],[Order Date]],"yyyy")</f>
        <v>2019</v>
      </c>
      <c r="D127" t="s">
        <v>6233</v>
      </c>
      <c r="E127" t="s">
        <v>286</v>
      </c>
      <c r="F127" t="s">
        <v>84</v>
      </c>
      <c r="G127">
        <v>3</v>
      </c>
      <c r="H127" t="s">
        <v>2527</v>
      </c>
      <c r="I127" t="s">
        <v>1945</v>
      </c>
      <c r="J127" t="s">
        <v>2531</v>
      </c>
      <c r="K127" t="s">
        <v>1938</v>
      </c>
      <c r="L127" t="s">
        <v>6199</v>
      </c>
      <c r="M127" t="s">
        <v>6193</v>
      </c>
      <c r="N127">
        <v>0.5</v>
      </c>
      <c r="O127">
        <v>8.73</v>
      </c>
      <c r="P127">
        <v>1.746</v>
      </c>
      <c r="Q127">
        <v>1.1349</v>
      </c>
      <c r="R127" s="5">
        <v>26.19</v>
      </c>
    </row>
    <row r="128" spans="1:18" x14ac:dyDescent="0.25">
      <c r="A128" t="s">
        <v>287</v>
      </c>
      <c r="B128" s="7">
        <v>44026</v>
      </c>
      <c r="C128" t="str">
        <f>TEXT(Table3[[#This Row],[Order Date]],"yyyy")</f>
        <v>2020</v>
      </c>
      <c r="D128" t="s">
        <v>6230</v>
      </c>
      <c r="E128" t="s">
        <v>288</v>
      </c>
      <c r="F128" t="s">
        <v>67</v>
      </c>
      <c r="G128">
        <v>1</v>
      </c>
      <c r="H128" t="s">
        <v>2533</v>
      </c>
      <c r="I128" t="s">
        <v>6210</v>
      </c>
      <c r="J128" t="s">
        <v>2497</v>
      </c>
      <c r="K128" t="s">
        <v>1947</v>
      </c>
      <c r="L128" t="s">
        <v>6213</v>
      </c>
      <c r="M128" t="s">
        <v>6193</v>
      </c>
      <c r="N128">
        <v>1</v>
      </c>
      <c r="O128">
        <v>11.25</v>
      </c>
      <c r="P128">
        <v>1.125</v>
      </c>
      <c r="Q128">
        <v>1.0125</v>
      </c>
      <c r="R128" s="5">
        <v>11.25</v>
      </c>
    </row>
    <row r="129" spans="1:18" x14ac:dyDescent="0.25">
      <c r="A129" t="s">
        <v>289</v>
      </c>
      <c r="B129" s="7">
        <v>44510</v>
      </c>
      <c r="C129" t="str">
        <f>TEXT(Table3[[#This Row],[Order Date]],"yyyy")</f>
        <v>2021</v>
      </c>
      <c r="D129" t="s">
        <v>6239</v>
      </c>
      <c r="E129" t="s">
        <v>290</v>
      </c>
      <c r="F129" t="s">
        <v>19</v>
      </c>
      <c r="G129">
        <v>6</v>
      </c>
      <c r="H129" t="s">
        <v>2537</v>
      </c>
      <c r="I129" t="s">
        <v>1945</v>
      </c>
      <c r="J129" t="s">
        <v>2362</v>
      </c>
      <c r="K129" t="s">
        <v>1947</v>
      </c>
      <c r="L129" t="s">
        <v>6199</v>
      </c>
      <c r="M129" t="s">
        <v>6195</v>
      </c>
      <c r="N129">
        <v>1</v>
      </c>
      <c r="O129">
        <v>12.95</v>
      </c>
      <c r="P129">
        <v>1.2949999999999999</v>
      </c>
      <c r="Q129">
        <v>1.6835</v>
      </c>
      <c r="R129" s="5">
        <v>77.699999999999989</v>
      </c>
    </row>
    <row r="130" spans="1:18" x14ac:dyDescent="0.25">
      <c r="A130" t="s">
        <v>291</v>
      </c>
      <c r="B130" s="7">
        <v>44439</v>
      </c>
      <c r="C130" t="str">
        <f>TEXT(Table3[[#This Row],[Order Date]],"yyyy")</f>
        <v>2021</v>
      </c>
      <c r="D130" t="s">
        <v>6231</v>
      </c>
      <c r="E130" t="s">
        <v>292</v>
      </c>
      <c r="F130" t="s">
        <v>73</v>
      </c>
      <c r="G130">
        <v>1</v>
      </c>
      <c r="H130" t="s">
        <v>2542</v>
      </c>
      <c r="I130" t="s">
        <v>6210</v>
      </c>
      <c r="J130" t="s">
        <v>2546</v>
      </c>
      <c r="K130" t="s">
        <v>1947</v>
      </c>
      <c r="L130" t="s">
        <v>6213</v>
      </c>
      <c r="M130" t="s">
        <v>6193</v>
      </c>
      <c r="N130">
        <v>0.5</v>
      </c>
      <c r="O130">
        <v>6.75</v>
      </c>
      <c r="P130">
        <v>1.35</v>
      </c>
      <c r="Q130">
        <v>0.60749999999999993</v>
      </c>
      <c r="R130" s="5">
        <v>6.75</v>
      </c>
    </row>
    <row r="131" spans="1:18" x14ac:dyDescent="0.25">
      <c r="A131" t="s">
        <v>293</v>
      </c>
      <c r="B131" s="7">
        <v>43652</v>
      </c>
      <c r="C131" t="str">
        <f>TEXT(Table3[[#This Row],[Order Date]],"yyyy")</f>
        <v>2019</v>
      </c>
      <c r="D131" t="s">
        <v>6230</v>
      </c>
      <c r="E131" t="s">
        <v>294</v>
      </c>
      <c r="F131" t="s">
        <v>251</v>
      </c>
      <c r="G131">
        <v>1</v>
      </c>
      <c r="H131" t="s">
        <v>2547</v>
      </c>
      <c r="I131" t="s">
        <v>6210</v>
      </c>
      <c r="J131" t="s">
        <v>2551</v>
      </c>
      <c r="K131" t="s">
        <v>1938</v>
      </c>
      <c r="L131" t="s">
        <v>6212</v>
      </c>
      <c r="M131" t="s">
        <v>6195</v>
      </c>
      <c r="N131">
        <v>1</v>
      </c>
      <c r="O131">
        <v>12.15</v>
      </c>
      <c r="P131">
        <v>1.2150000000000001</v>
      </c>
      <c r="Q131">
        <v>1.3365</v>
      </c>
      <c r="R131" s="5">
        <v>12.15</v>
      </c>
    </row>
    <row r="132" spans="1:18" x14ac:dyDescent="0.25">
      <c r="A132" t="s">
        <v>295</v>
      </c>
      <c r="B132" s="7">
        <v>44624</v>
      </c>
      <c r="C132" t="str">
        <f>TEXT(Table3[[#This Row],[Order Date]],"yyyy")</f>
        <v>2022</v>
      </c>
      <c r="D132" t="s">
        <v>6234</v>
      </c>
      <c r="E132" t="s">
        <v>296</v>
      </c>
      <c r="F132" t="s">
        <v>210</v>
      </c>
      <c r="G132">
        <v>5</v>
      </c>
      <c r="H132" t="s">
        <v>2552</v>
      </c>
      <c r="I132" t="s">
        <v>1945</v>
      </c>
      <c r="J132" t="s">
        <v>2472</v>
      </c>
      <c r="K132" t="s">
        <v>1938</v>
      </c>
      <c r="L132" t="s">
        <v>6213</v>
      </c>
      <c r="M132" t="s">
        <v>6215</v>
      </c>
      <c r="N132">
        <v>2.5</v>
      </c>
      <c r="O132">
        <v>29.784999999999997</v>
      </c>
      <c r="P132">
        <v>1.1913999999999998</v>
      </c>
      <c r="Q132">
        <v>2.6806499999999995</v>
      </c>
      <c r="R132" s="5">
        <v>148.92499999999998</v>
      </c>
    </row>
    <row r="133" spans="1:18" x14ac:dyDescent="0.25">
      <c r="A133" t="s">
        <v>297</v>
      </c>
      <c r="B133" s="7">
        <v>44196</v>
      </c>
      <c r="C133" t="str">
        <f>TEXT(Table3[[#This Row],[Order Date]],"yyyy")</f>
        <v>2020</v>
      </c>
      <c r="D133" t="s">
        <v>6237</v>
      </c>
      <c r="E133" t="s">
        <v>298</v>
      </c>
      <c r="F133" t="s">
        <v>22</v>
      </c>
      <c r="G133">
        <v>2</v>
      </c>
      <c r="H133" t="s">
        <v>2555</v>
      </c>
      <c r="I133" t="s">
        <v>6210</v>
      </c>
      <c r="J133" t="s">
        <v>2296</v>
      </c>
      <c r="K133" t="s">
        <v>1938</v>
      </c>
      <c r="L133" t="s">
        <v>6212</v>
      </c>
      <c r="M133" t="s">
        <v>6195</v>
      </c>
      <c r="N133">
        <v>0.5</v>
      </c>
      <c r="O133">
        <v>7.29</v>
      </c>
      <c r="P133">
        <v>1.458</v>
      </c>
      <c r="Q133">
        <v>0.80190000000000006</v>
      </c>
      <c r="R133" s="5">
        <v>14.58</v>
      </c>
    </row>
    <row r="134" spans="1:18" x14ac:dyDescent="0.25">
      <c r="A134" t="s">
        <v>299</v>
      </c>
      <c r="B134" s="7">
        <v>44043</v>
      </c>
      <c r="C134" t="str">
        <f>TEXT(Table3[[#This Row],[Order Date]],"yyyy")</f>
        <v>2020</v>
      </c>
      <c r="D134" t="s">
        <v>6230</v>
      </c>
      <c r="E134" t="s">
        <v>300</v>
      </c>
      <c r="F134" t="s">
        <v>210</v>
      </c>
      <c r="G134">
        <v>5</v>
      </c>
      <c r="H134" t="s">
        <v>2559</v>
      </c>
      <c r="I134" t="s">
        <v>6210</v>
      </c>
      <c r="J134" t="s">
        <v>2563</v>
      </c>
      <c r="K134" t="s">
        <v>1938</v>
      </c>
      <c r="L134" t="s">
        <v>6213</v>
      </c>
      <c r="M134" t="s">
        <v>6215</v>
      </c>
      <c r="N134">
        <v>2.5</v>
      </c>
      <c r="O134">
        <v>29.784999999999997</v>
      </c>
      <c r="P134">
        <v>1.1913999999999998</v>
      </c>
      <c r="Q134">
        <v>2.6806499999999995</v>
      </c>
      <c r="R134" s="5">
        <v>148.92499999999998</v>
      </c>
    </row>
    <row r="135" spans="1:18" x14ac:dyDescent="0.25">
      <c r="A135" t="s">
        <v>301</v>
      </c>
      <c r="B135" s="7">
        <v>44340</v>
      </c>
      <c r="C135" t="str">
        <f>TEXT(Table3[[#This Row],[Order Date]],"yyyy")</f>
        <v>2021</v>
      </c>
      <c r="D135" t="s">
        <v>6233</v>
      </c>
      <c r="E135" t="s">
        <v>302</v>
      </c>
      <c r="F135" t="s">
        <v>19</v>
      </c>
      <c r="G135">
        <v>1</v>
      </c>
      <c r="H135" t="s">
        <v>2564</v>
      </c>
      <c r="I135" t="s">
        <v>6210</v>
      </c>
      <c r="J135" t="s">
        <v>2568</v>
      </c>
      <c r="K135" t="s">
        <v>1947</v>
      </c>
      <c r="L135" t="s">
        <v>6199</v>
      </c>
      <c r="M135" t="s">
        <v>6195</v>
      </c>
      <c r="N135">
        <v>1</v>
      </c>
      <c r="O135">
        <v>12.95</v>
      </c>
      <c r="P135">
        <v>1.2949999999999999</v>
      </c>
      <c r="Q135">
        <v>1.6835</v>
      </c>
      <c r="R135" s="5">
        <v>12.95</v>
      </c>
    </row>
    <row r="136" spans="1:18" x14ac:dyDescent="0.25">
      <c r="A136" t="s">
        <v>303</v>
      </c>
      <c r="B136" s="7">
        <v>44758</v>
      </c>
      <c r="C136" t="str">
        <f>TEXT(Table3[[#This Row],[Order Date]],"yyyy")</f>
        <v>2022</v>
      </c>
      <c r="D136" t="s">
        <v>6230</v>
      </c>
      <c r="E136" t="s">
        <v>304</v>
      </c>
      <c r="F136" t="s">
        <v>118</v>
      </c>
      <c r="G136">
        <v>3</v>
      </c>
      <c r="H136" t="s">
        <v>2569</v>
      </c>
      <c r="I136" t="s">
        <v>6210</v>
      </c>
      <c r="J136" t="s">
        <v>2182</v>
      </c>
      <c r="K136" t="s">
        <v>1938</v>
      </c>
      <c r="L136" t="s">
        <v>6212</v>
      </c>
      <c r="M136" t="s">
        <v>6193</v>
      </c>
      <c r="N136">
        <v>2.5</v>
      </c>
      <c r="O136">
        <v>31.624999999999996</v>
      </c>
      <c r="P136">
        <v>1.2649999999999999</v>
      </c>
      <c r="Q136">
        <v>3.4787499999999998</v>
      </c>
      <c r="R136" s="5">
        <v>94.874999999999986</v>
      </c>
    </row>
    <row r="137" spans="1:18" x14ac:dyDescent="0.25">
      <c r="A137" t="s">
        <v>305</v>
      </c>
      <c r="B137" s="7">
        <v>44232</v>
      </c>
      <c r="C137" t="str">
        <f>TEXT(Table3[[#This Row],[Order Date]],"yyyy")</f>
        <v>2021</v>
      </c>
      <c r="D137" t="s">
        <v>6238</v>
      </c>
      <c r="E137" t="s">
        <v>306</v>
      </c>
      <c r="F137" t="s">
        <v>198</v>
      </c>
      <c r="G137">
        <v>5</v>
      </c>
      <c r="H137" t="s">
        <v>2355</v>
      </c>
      <c r="I137" t="s">
        <v>6210</v>
      </c>
      <c r="J137" t="s">
        <v>2358</v>
      </c>
      <c r="K137" t="s">
        <v>1938</v>
      </c>
      <c r="L137" t="s">
        <v>6213</v>
      </c>
      <c r="M137" t="s">
        <v>6215</v>
      </c>
      <c r="N137">
        <v>0.5</v>
      </c>
      <c r="O137">
        <v>7.77</v>
      </c>
      <c r="P137">
        <v>1.5539999999999998</v>
      </c>
      <c r="Q137">
        <v>0.69929999999999992</v>
      </c>
      <c r="R137" s="5">
        <v>38.849999999999994</v>
      </c>
    </row>
    <row r="138" spans="1:18" x14ac:dyDescent="0.25">
      <c r="A138" t="s">
        <v>307</v>
      </c>
      <c r="B138" s="7">
        <v>44406</v>
      </c>
      <c r="C138" t="str">
        <f>TEXT(Table3[[#This Row],[Order Date]],"yyyy")</f>
        <v>2021</v>
      </c>
      <c r="D138" t="s">
        <v>6230</v>
      </c>
      <c r="E138" t="s">
        <v>308</v>
      </c>
      <c r="F138" t="s">
        <v>60</v>
      </c>
      <c r="G138">
        <v>4</v>
      </c>
      <c r="H138" t="s">
        <v>2578</v>
      </c>
      <c r="I138" t="s">
        <v>6210</v>
      </c>
      <c r="J138" t="s">
        <v>2009</v>
      </c>
      <c r="K138" t="s">
        <v>1947</v>
      </c>
      <c r="L138" t="s">
        <v>6213</v>
      </c>
      <c r="M138" t="s">
        <v>6195</v>
      </c>
      <c r="N138">
        <v>0.2</v>
      </c>
      <c r="O138">
        <v>2.9849999999999999</v>
      </c>
      <c r="P138">
        <v>1.4924999999999999</v>
      </c>
      <c r="Q138">
        <v>0.26865</v>
      </c>
      <c r="R138" s="5">
        <v>11.94</v>
      </c>
    </row>
    <row r="139" spans="1:18" x14ac:dyDescent="0.25">
      <c r="A139" t="s">
        <v>309</v>
      </c>
      <c r="B139" s="7">
        <v>44637</v>
      </c>
      <c r="C139" t="str">
        <f>TEXT(Table3[[#This Row],[Order Date]],"yyyy")</f>
        <v>2022</v>
      </c>
      <c r="D139" t="s">
        <v>6234</v>
      </c>
      <c r="E139" t="s">
        <v>310</v>
      </c>
      <c r="F139" t="s">
        <v>36</v>
      </c>
      <c r="G139">
        <v>3</v>
      </c>
      <c r="H139" t="s">
        <v>2582</v>
      </c>
      <c r="I139" t="s">
        <v>1945</v>
      </c>
      <c r="J139" t="s">
        <v>2101</v>
      </c>
      <c r="K139" t="s">
        <v>1947</v>
      </c>
      <c r="L139" t="s">
        <v>6212</v>
      </c>
      <c r="M139" t="s">
        <v>6215</v>
      </c>
      <c r="N139">
        <v>2.5</v>
      </c>
      <c r="O139">
        <v>34.154999999999994</v>
      </c>
      <c r="P139">
        <v>1.3661999999999999</v>
      </c>
      <c r="Q139">
        <v>3.7570499999999996</v>
      </c>
      <c r="R139" s="5">
        <v>102.46499999999997</v>
      </c>
    </row>
    <row r="140" spans="1:18" x14ac:dyDescent="0.25">
      <c r="A140" t="s">
        <v>311</v>
      </c>
      <c r="B140" s="7">
        <v>44238</v>
      </c>
      <c r="C140" t="str">
        <f>TEXT(Table3[[#This Row],[Order Date]],"yyyy")</f>
        <v>2021</v>
      </c>
      <c r="D140" t="s">
        <v>6238</v>
      </c>
      <c r="E140" t="s">
        <v>312</v>
      </c>
      <c r="F140" t="s">
        <v>251</v>
      </c>
      <c r="G140">
        <v>4</v>
      </c>
      <c r="H140" t="s">
        <v>2585</v>
      </c>
      <c r="I140" t="s">
        <v>6210</v>
      </c>
      <c r="J140" t="s">
        <v>2588</v>
      </c>
      <c r="K140" t="s">
        <v>1947</v>
      </c>
      <c r="L140" t="s">
        <v>6212</v>
      </c>
      <c r="M140" t="s">
        <v>6195</v>
      </c>
      <c r="N140">
        <v>1</v>
      </c>
      <c r="O140">
        <v>12.15</v>
      </c>
      <c r="P140">
        <v>1.2150000000000001</v>
      </c>
      <c r="Q140">
        <v>1.3365</v>
      </c>
      <c r="R140" s="5">
        <v>48.6</v>
      </c>
    </row>
    <row r="141" spans="1:18" x14ac:dyDescent="0.25">
      <c r="A141" t="s">
        <v>313</v>
      </c>
      <c r="B141" s="7">
        <v>43509</v>
      </c>
      <c r="C141" t="str">
        <f>TEXT(Table3[[#This Row],[Order Date]],"yyyy")</f>
        <v>2019</v>
      </c>
      <c r="D141" t="s">
        <v>6238</v>
      </c>
      <c r="E141" t="s">
        <v>314</v>
      </c>
      <c r="F141" t="s">
        <v>19</v>
      </c>
      <c r="G141">
        <v>6</v>
      </c>
      <c r="H141" t="s">
        <v>2589</v>
      </c>
      <c r="I141" t="s">
        <v>6210</v>
      </c>
      <c r="J141" t="s">
        <v>2379</v>
      </c>
      <c r="K141" t="s">
        <v>1938</v>
      </c>
      <c r="L141" t="s">
        <v>6199</v>
      </c>
      <c r="M141" t="s">
        <v>6195</v>
      </c>
      <c r="N141">
        <v>1</v>
      </c>
      <c r="O141">
        <v>12.95</v>
      </c>
      <c r="P141">
        <v>1.2949999999999999</v>
      </c>
      <c r="Q141">
        <v>1.6835</v>
      </c>
      <c r="R141" s="5">
        <v>77.699999999999989</v>
      </c>
    </row>
    <row r="142" spans="1:18" x14ac:dyDescent="0.25">
      <c r="A142" t="s">
        <v>315</v>
      </c>
      <c r="B142" s="7">
        <v>44694</v>
      </c>
      <c r="C142" t="str">
        <f>TEXT(Table3[[#This Row],[Order Date]],"yyyy")</f>
        <v>2022</v>
      </c>
      <c r="D142" t="s">
        <v>6233</v>
      </c>
      <c r="E142" t="s">
        <v>316</v>
      </c>
      <c r="F142" t="s">
        <v>115</v>
      </c>
      <c r="G142">
        <v>1</v>
      </c>
      <c r="H142" t="s">
        <v>2592</v>
      </c>
      <c r="I142" t="s">
        <v>1945</v>
      </c>
      <c r="J142" t="s">
        <v>2596</v>
      </c>
      <c r="K142" t="s">
        <v>1938</v>
      </c>
      <c r="L142" t="s">
        <v>6199</v>
      </c>
      <c r="M142" t="s">
        <v>6195</v>
      </c>
      <c r="N142">
        <v>2.5</v>
      </c>
      <c r="O142">
        <v>29.784999999999997</v>
      </c>
      <c r="P142">
        <v>1.1913999999999998</v>
      </c>
      <c r="Q142">
        <v>3.8720499999999998</v>
      </c>
      <c r="R142" s="5">
        <v>29.784999999999997</v>
      </c>
    </row>
    <row r="143" spans="1:18" x14ac:dyDescent="0.25">
      <c r="A143" t="s">
        <v>317</v>
      </c>
      <c r="B143" s="7">
        <v>43970</v>
      </c>
      <c r="C143" t="str">
        <f>TEXT(Table3[[#This Row],[Order Date]],"yyyy")</f>
        <v>2020</v>
      </c>
      <c r="D143" t="s">
        <v>6233</v>
      </c>
      <c r="E143" t="s">
        <v>318</v>
      </c>
      <c r="F143" t="s">
        <v>121</v>
      </c>
      <c r="G143">
        <v>4</v>
      </c>
      <c r="H143" t="s">
        <v>2597</v>
      </c>
      <c r="I143" t="s">
        <v>6210</v>
      </c>
      <c r="J143" t="s">
        <v>2182</v>
      </c>
      <c r="K143" t="s">
        <v>1938</v>
      </c>
      <c r="L143" t="s">
        <v>6213</v>
      </c>
      <c r="M143" t="s">
        <v>6215</v>
      </c>
      <c r="N143">
        <v>0.2</v>
      </c>
      <c r="O143">
        <v>3.8849999999999998</v>
      </c>
      <c r="P143">
        <v>1.9424999999999999</v>
      </c>
      <c r="Q143">
        <v>0.34964999999999996</v>
      </c>
      <c r="R143" s="5">
        <v>15.54</v>
      </c>
    </row>
    <row r="144" spans="1:18" x14ac:dyDescent="0.25">
      <c r="A144" t="s">
        <v>319</v>
      </c>
      <c r="B144" s="7">
        <v>44678</v>
      </c>
      <c r="C144" t="str">
        <f>TEXT(Table3[[#This Row],[Order Date]],"yyyy")</f>
        <v>2022</v>
      </c>
      <c r="D144" t="s">
        <v>6236</v>
      </c>
      <c r="E144" t="s">
        <v>320</v>
      </c>
      <c r="F144" t="s">
        <v>36</v>
      </c>
      <c r="G144">
        <v>4</v>
      </c>
      <c r="H144" t="s">
        <v>2601</v>
      </c>
      <c r="I144" t="s">
        <v>1945</v>
      </c>
      <c r="J144" t="s">
        <v>2603</v>
      </c>
      <c r="K144" t="s">
        <v>1938</v>
      </c>
      <c r="L144" t="s">
        <v>6212</v>
      </c>
      <c r="M144" t="s">
        <v>6215</v>
      </c>
      <c r="N144">
        <v>2.5</v>
      </c>
      <c r="O144">
        <v>34.154999999999994</v>
      </c>
      <c r="P144">
        <v>1.3661999999999999</v>
      </c>
      <c r="Q144">
        <v>3.7570499999999996</v>
      </c>
      <c r="R144" s="5">
        <v>136.61999999999998</v>
      </c>
    </row>
    <row r="145" spans="1:18" x14ac:dyDescent="0.25">
      <c r="A145" t="s">
        <v>321</v>
      </c>
      <c r="B145" s="7">
        <v>44083</v>
      </c>
      <c r="C145" t="str">
        <f>TEXT(Table3[[#This Row],[Order Date]],"yyyy")</f>
        <v>2020</v>
      </c>
      <c r="D145" t="s">
        <v>6228</v>
      </c>
      <c r="E145" t="s">
        <v>322</v>
      </c>
      <c r="F145" t="s">
        <v>84</v>
      </c>
      <c r="G145">
        <v>2</v>
      </c>
      <c r="H145" t="s">
        <v>2604</v>
      </c>
      <c r="I145" t="s">
        <v>6210</v>
      </c>
      <c r="J145" t="s">
        <v>2023</v>
      </c>
      <c r="K145" t="s">
        <v>1947</v>
      </c>
      <c r="L145" t="s">
        <v>6199</v>
      </c>
      <c r="M145" t="s">
        <v>6193</v>
      </c>
      <c r="N145">
        <v>0.5</v>
      </c>
      <c r="O145">
        <v>8.73</v>
      </c>
      <c r="P145">
        <v>1.746</v>
      </c>
      <c r="Q145">
        <v>1.1349</v>
      </c>
      <c r="R145" s="5">
        <v>17.46</v>
      </c>
    </row>
    <row r="146" spans="1:18" x14ac:dyDescent="0.25">
      <c r="A146" t="s">
        <v>323</v>
      </c>
      <c r="B146" s="7">
        <v>44265</v>
      </c>
      <c r="C146" t="str">
        <f>TEXT(Table3[[#This Row],[Order Date]],"yyyy")</f>
        <v>2021</v>
      </c>
      <c r="D146" t="s">
        <v>6234</v>
      </c>
      <c r="E146" t="s">
        <v>324</v>
      </c>
      <c r="F146" t="s">
        <v>36</v>
      </c>
      <c r="G146">
        <v>2</v>
      </c>
      <c r="H146" t="s">
        <v>2608</v>
      </c>
      <c r="I146" t="s">
        <v>6210</v>
      </c>
      <c r="J146" t="s">
        <v>2612</v>
      </c>
      <c r="K146" t="s">
        <v>1938</v>
      </c>
      <c r="L146" t="s">
        <v>6212</v>
      </c>
      <c r="M146" t="s">
        <v>6215</v>
      </c>
      <c r="N146">
        <v>2.5</v>
      </c>
      <c r="O146">
        <v>34.154999999999994</v>
      </c>
      <c r="P146">
        <v>1.3661999999999999</v>
      </c>
      <c r="Q146">
        <v>3.7570499999999996</v>
      </c>
      <c r="R146" s="5">
        <v>68.309999999999988</v>
      </c>
    </row>
    <row r="147" spans="1:18" x14ac:dyDescent="0.25">
      <c r="A147" t="s">
        <v>325</v>
      </c>
      <c r="B147" s="7">
        <v>43562</v>
      </c>
      <c r="C147" t="str">
        <f>TEXT(Table3[[#This Row],[Order Date]],"yyyy")</f>
        <v>2019</v>
      </c>
      <c r="D147" t="s">
        <v>6236</v>
      </c>
      <c r="E147" t="s">
        <v>326</v>
      </c>
      <c r="F147" t="s">
        <v>83</v>
      </c>
      <c r="G147">
        <v>4</v>
      </c>
      <c r="H147" t="s">
        <v>2613</v>
      </c>
      <c r="I147" t="s">
        <v>6210</v>
      </c>
      <c r="J147" t="s">
        <v>2444</v>
      </c>
      <c r="K147" t="s">
        <v>1947</v>
      </c>
      <c r="L147" t="s">
        <v>6199</v>
      </c>
      <c r="M147" t="s">
        <v>6193</v>
      </c>
      <c r="N147">
        <v>0.2</v>
      </c>
      <c r="O147">
        <v>4.3650000000000002</v>
      </c>
      <c r="P147">
        <v>2.1825000000000001</v>
      </c>
      <c r="Q147">
        <v>0.56745000000000001</v>
      </c>
      <c r="R147" s="5">
        <v>17.46</v>
      </c>
    </row>
    <row r="148" spans="1:18" x14ac:dyDescent="0.25">
      <c r="A148" t="s">
        <v>327</v>
      </c>
      <c r="B148" s="7">
        <v>44024</v>
      </c>
      <c r="C148" t="str">
        <f>TEXT(Table3[[#This Row],[Order Date]],"yyyy")</f>
        <v>2020</v>
      </c>
      <c r="D148" t="s">
        <v>6230</v>
      </c>
      <c r="E148" t="s">
        <v>328</v>
      </c>
      <c r="F148" t="s">
        <v>102</v>
      </c>
      <c r="G148">
        <v>3</v>
      </c>
      <c r="H148" t="s">
        <v>2617</v>
      </c>
      <c r="I148" t="s">
        <v>6210</v>
      </c>
      <c r="J148" t="s">
        <v>2621</v>
      </c>
      <c r="K148" t="s">
        <v>1947</v>
      </c>
      <c r="L148" t="s">
        <v>6199</v>
      </c>
      <c r="M148" t="s">
        <v>6193</v>
      </c>
      <c r="N148">
        <v>1</v>
      </c>
      <c r="O148">
        <v>14.55</v>
      </c>
      <c r="P148">
        <v>1.4550000000000001</v>
      </c>
      <c r="Q148">
        <v>1.8915000000000002</v>
      </c>
      <c r="R148" s="5">
        <v>43.650000000000006</v>
      </c>
    </row>
    <row r="149" spans="1:18" x14ac:dyDescent="0.25">
      <c r="A149" t="s">
        <v>327</v>
      </c>
      <c r="B149" s="7">
        <v>44024</v>
      </c>
      <c r="C149" t="str">
        <f>TEXT(Table3[[#This Row],[Order Date]],"yyyy")</f>
        <v>2020</v>
      </c>
      <c r="D149" t="s">
        <v>6230</v>
      </c>
      <c r="E149" t="s">
        <v>328</v>
      </c>
      <c r="F149" t="s">
        <v>15</v>
      </c>
      <c r="G149">
        <v>2</v>
      </c>
      <c r="H149" t="s">
        <v>2617</v>
      </c>
      <c r="I149" t="s">
        <v>6210</v>
      </c>
      <c r="J149" t="s">
        <v>2621</v>
      </c>
      <c r="K149" t="s">
        <v>1947</v>
      </c>
      <c r="L149" t="s">
        <v>6212</v>
      </c>
      <c r="M149" t="s">
        <v>6193</v>
      </c>
      <c r="N149">
        <v>1</v>
      </c>
      <c r="O149">
        <v>13.75</v>
      </c>
      <c r="P149">
        <v>1.375</v>
      </c>
      <c r="Q149">
        <v>1.5125</v>
      </c>
      <c r="R149" s="5">
        <v>27.5</v>
      </c>
    </row>
    <row r="150" spans="1:18" x14ac:dyDescent="0.25">
      <c r="A150" t="s">
        <v>329</v>
      </c>
      <c r="B150" s="7">
        <v>44551</v>
      </c>
      <c r="C150" t="str">
        <f>TEXT(Table3[[#This Row],[Order Date]],"yyyy")</f>
        <v>2021</v>
      </c>
      <c r="D150" t="s">
        <v>6237</v>
      </c>
      <c r="E150" t="s">
        <v>330</v>
      </c>
      <c r="F150" t="s">
        <v>57</v>
      </c>
      <c r="G150">
        <v>5</v>
      </c>
      <c r="H150" t="s">
        <v>2627</v>
      </c>
      <c r="I150" t="s">
        <v>6210</v>
      </c>
      <c r="J150" t="s">
        <v>2202</v>
      </c>
      <c r="K150" t="s">
        <v>1938</v>
      </c>
      <c r="L150" t="s">
        <v>6212</v>
      </c>
      <c r="M150" t="s">
        <v>6195</v>
      </c>
      <c r="N150">
        <v>0.2</v>
      </c>
      <c r="O150">
        <v>3.645</v>
      </c>
      <c r="P150">
        <v>1.8225</v>
      </c>
      <c r="Q150">
        <v>0.40095000000000003</v>
      </c>
      <c r="R150" s="5">
        <v>18.225000000000001</v>
      </c>
    </row>
    <row r="151" spans="1:18" x14ac:dyDescent="0.25">
      <c r="A151" t="s">
        <v>331</v>
      </c>
      <c r="B151" s="7">
        <v>44108</v>
      </c>
      <c r="C151" t="str">
        <f>TEXT(Table3[[#This Row],[Order Date]],"yyyy")</f>
        <v>2020</v>
      </c>
      <c r="D151" t="s">
        <v>6235</v>
      </c>
      <c r="E151" t="s">
        <v>332</v>
      </c>
      <c r="F151" t="s">
        <v>177</v>
      </c>
      <c r="G151">
        <v>2</v>
      </c>
      <c r="H151" t="s">
        <v>2631</v>
      </c>
      <c r="I151" t="s">
        <v>6210</v>
      </c>
      <c r="J151" t="s">
        <v>2634</v>
      </c>
      <c r="K151" t="s">
        <v>1938</v>
      </c>
      <c r="L151" t="s">
        <v>6213</v>
      </c>
      <c r="M151" t="s">
        <v>6193</v>
      </c>
      <c r="N151">
        <v>2.5</v>
      </c>
      <c r="O151">
        <v>25.874999999999996</v>
      </c>
      <c r="P151">
        <v>1.0349999999999999</v>
      </c>
      <c r="Q151">
        <v>2.3287499999999994</v>
      </c>
      <c r="R151" s="5">
        <v>51.749999999999993</v>
      </c>
    </row>
    <row r="152" spans="1:18" x14ac:dyDescent="0.25">
      <c r="A152" t="s">
        <v>333</v>
      </c>
      <c r="B152" s="7">
        <v>44051</v>
      </c>
      <c r="C152" t="str">
        <f>TEXT(Table3[[#This Row],[Order Date]],"yyyy")</f>
        <v>2020</v>
      </c>
      <c r="D152" t="s">
        <v>6231</v>
      </c>
      <c r="E152" t="s">
        <v>334</v>
      </c>
      <c r="F152" t="s">
        <v>19</v>
      </c>
      <c r="G152">
        <v>1</v>
      </c>
      <c r="H152" t="s">
        <v>2635</v>
      </c>
      <c r="I152" t="s">
        <v>6210</v>
      </c>
      <c r="J152" t="s">
        <v>2639</v>
      </c>
      <c r="K152" t="s">
        <v>1938</v>
      </c>
      <c r="L152" t="s">
        <v>6199</v>
      </c>
      <c r="M152" t="s">
        <v>6195</v>
      </c>
      <c r="N152">
        <v>1</v>
      </c>
      <c r="O152">
        <v>12.95</v>
      </c>
      <c r="P152">
        <v>1.2949999999999999</v>
      </c>
      <c r="Q152">
        <v>1.6835</v>
      </c>
      <c r="R152" s="5">
        <v>12.95</v>
      </c>
    </row>
    <row r="153" spans="1:18" x14ac:dyDescent="0.25">
      <c r="A153" t="s">
        <v>335</v>
      </c>
      <c r="B153" s="7">
        <v>44115</v>
      </c>
      <c r="C153" t="str">
        <f>TEXT(Table3[[#This Row],[Order Date]],"yyyy")</f>
        <v>2020</v>
      </c>
      <c r="D153" t="s">
        <v>6235</v>
      </c>
      <c r="E153" t="s">
        <v>336</v>
      </c>
      <c r="F153" t="s">
        <v>67</v>
      </c>
      <c r="G153">
        <v>3</v>
      </c>
      <c r="H153" t="s">
        <v>2640</v>
      </c>
      <c r="I153" t="s">
        <v>6210</v>
      </c>
      <c r="J153" t="s">
        <v>2643</v>
      </c>
      <c r="K153" t="s">
        <v>1938</v>
      </c>
      <c r="L153" t="s">
        <v>6213</v>
      </c>
      <c r="M153" t="s">
        <v>6193</v>
      </c>
      <c r="N153">
        <v>1</v>
      </c>
      <c r="O153">
        <v>11.25</v>
      </c>
      <c r="P153">
        <v>1.125</v>
      </c>
      <c r="Q153">
        <v>1.0125</v>
      </c>
      <c r="R153" s="5">
        <v>33.75</v>
      </c>
    </row>
    <row r="154" spans="1:18" x14ac:dyDescent="0.25">
      <c r="A154" t="s">
        <v>337</v>
      </c>
      <c r="B154" s="7">
        <v>44510</v>
      </c>
      <c r="C154" t="str">
        <f>TEXT(Table3[[#This Row],[Order Date]],"yyyy")</f>
        <v>2021</v>
      </c>
      <c r="D154" t="s">
        <v>6239</v>
      </c>
      <c r="E154" t="s">
        <v>338</v>
      </c>
      <c r="F154" t="s">
        <v>47</v>
      </c>
      <c r="G154">
        <v>3</v>
      </c>
      <c r="H154" t="s">
        <v>2644</v>
      </c>
      <c r="I154" t="s">
        <v>6210</v>
      </c>
      <c r="J154" t="s">
        <v>2588</v>
      </c>
      <c r="K154" t="s">
        <v>1938</v>
      </c>
      <c r="L154" t="s">
        <v>6211</v>
      </c>
      <c r="M154" t="s">
        <v>6193</v>
      </c>
      <c r="N154">
        <v>2.5</v>
      </c>
      <c r="O154">
        <v>22.884999999999998</v>
      </c>
      <c r="P154">
        <v>0.91539999999999988</v>
      </c>
      <c r="Q154">
        <v>1.3730999999999998</v>
      </c>
      <c r="R154" s="5">
        <v>68.655000000000001</v>
      </c>
    </row>
    <row r="155" spans="1:18" x14ac:dyDescent="0.25">
      <c r="A155" t="s">
        <v>339</v>
      </c>
      <c r="B155" s="7">
        <v>44367</v>
      </c>
      <c r="C155" t="str">
        <f>TEXT(Table3[[#This Row],[Order Date]],"yyyy")</f>
        <v>2021</v>
      </c>
      <c r="D155" t="s">
        <v>6229</v>
      </c>
      <c r="E155" t="s">
        <v>340</v>
      </c>
      <c r="F155" t="s">
        <v>107</v>
      </c>
      <c r="G155">
        <v>1</v>
      </c>
      <c r="H155" t="s">
        <v>2648</v>
      </c>
      <c r="I155" t="s">
        <v>6210</v>
      </c>
      <c r="J155" t="s">
        <v>2187</v>
      </c>
      <c r="K155" t="s">
        <v>1947</v>
      </c>
      <c r="L155" t="s">
        <v>6211</v>
      </c>
      <c r="M155" t="s">
        <v>6195</v>
      </c>
      <c r="N155">
        <v>0.2</v>
      </c>
      <c r="O155">
        <v>2.6849999999999996</v>
      </c>
      <c r="P155">
        <v>1.3424999999999998</v>
      </c>
      <c r="Q155">
        <v>0.16109999999999997</v>
      </c>
      <c r="R155" s="5">
        <v>2.6849999999999996</v>
      </c>
    </row>
    <row r="156" spans="1:18" x14ac:dyDescent="0.25">
      <c r="A156" t="s">
        <v>341</v>
      </c>
      <c r="B156" s="7">
        <v>44473</v>
      </c>
      <c r="C156" t="str">
        <f>TEXT(Table3[[#This Row],[Order Date]],"yyyy")</f>
        <v>2021</v>
      </c>
      <c r="D156" t="s">
        <v>6235</v>
      </c>
      <c r="E156" t="s">
        <v>342</v>
      </c>
      <c r="F156" t="s">
        <v>124</v>
      </c>
      <c r="G156">
        <v>5</v>
      </c>
      <c r="H156" t="s">
        <v>2651</v>
      </c>
      <c r="I156" t="s">
        <v>6210</v>
      </c>
      <c r="J156" t="s">
        <v>2013</v>
      </c>
      <c r="K156" t="s">
        <v>1947</v>
      </c>
      <c r="L156" t="s">
        <v>6213</v>
      </c>
      <c r="M156" t="s">
        <v>6195</v>
      </c>
      <c r="N156">
        <v>2.5</v>
      </c>
      <c r="O156">
        <v>22.884999999999998</v>
      </c>
      <c r="P156">
        <v>0.91539999999999988</v>
      </c>
      <c r="Q156">
        <v>2.0596499999999995</v>
      </c>
      <c r="R156" s="5">
        <v>114.42499999999998</v>
      </c>
    </row>
    <row r="157" spans="1:18" x14ac:dyDescent="0.25">
      <c r="A157" t="s">
        <v>343</v>
      </c>
      <c r="B157" s="7">
        <v>43640</v>
      </c>
      <c r="C157" t="str">
        <f>TEXT(Table3[[#This Row],[Order Date]],"yyyy")</f>
        <v>2019</v>
      </c>
      <c r="D157" t="s">
        <v>6229</v>
      </c>
      <c r="E157" t="s">
        <v>344</v>
      </c>
      <c r="F157" t="s">
        <v>177</v>
      </c>
      <c r="G157">
        <v>6</v>
      </c>
      <c r="H157" t="s">
        <v>2655</v>
      </c>
      <c r="I157" t="s">
        <v>6210</v>
      </c>
      <c r="J157" t="s">
        <v>2659</v>
      </c>
      <c r="K157" t="s">
        <v>1938</v>
      </c>
      <c r="L157" t="s">
        <v>6213</v>
      </c>
      <c r="M157" t="s">
        <v>6193</v>
      </c>
      <c r="N157">
        <v>2.5</v>
      </c>
      <c r="O157">
        <v>25.874999999999996</v>
      </c>
      <c r="P157">
        <v>1.0349999999999999</v>
      </c>
      <c r="Q157">
        <v>2.3287499999999994</v>
      </c>
      <c r="R157" s="5">
        <v>155.24999999999997</v>
      </c>
    </row>
    <row r="158" spans="1:18" x14ac:dyDescent="0.25">
      <c r="A158" t="s">
        <v>345</v>
      </c>
      <c r="B158" s="7">
        <v>43764</v>
      </c>
      <c r="C158" t="str">
        <f>TEXT(Table3[[#This Row],[Order Date]],"yyyy")</f>
        <v>2019</v>
      </c>
      <c r="D158" t="s">
        <v>6235</v>
      </c>
      <c r="E158" t="s">
        <v>346</v>
      </c>
      <c r="F158" t="s">
        <v>177</v>
      </c>
      <c r="G158">
        <v>3</v>
      </c>
      <c r="H158" t="s">
        <v>2660</v>
      </c>
      <c r="I158" t="s">
        <v>6210</v>
      </c>
      <c r="J158" t="s">
        <v>2664</v>
      </c>
      <c r="K158" t="s">
        <v>1938</v>
      </c>
      <c r="L158" t="s">
        <v>6213</v>
      </c>
      <c r="M158" t="s">
        <v>6193</v>
      </c>
      <c r="N158">
        <v>2.5</v>
      </c>
      <c r="O158">
        <v>25.874999999999996</v>
      </c>
      <c r="P158">
        <v>1.0349999999999999</v>
      </c>
      <c r="Q158">
        <v>2.3287499999999994</v>
      </c>
      <c r="R158" s="5">
        <v>77.624999999999986</v>
      </c>
    </row>
    <row r="159" spans="1:18" x14ac:dyDescent="0.25">
      <c r="A159" t="s">
        <v>347</v>
      </c>
      <c r="B159" s="7">
        <v>44374</v>
      </c>
      <c r="C159" t="str">
        <f>TEXT(Table3[[#This Row],[Order Date]],"yyyy")</f>
        <v>2021</v>
      </c>
      <c r="D159" t="s">
        <v>6229</v>
      </c>
      <c r="E159" t="s">
        <v>348</v>
      </c>
      <c r="F159" t="s">
        <v>41</v>
      </c>
      <c r="G159">
        <v>3</v>
      </c>
      <c r="H159" t="s">
        <v>2665</v>
      </c>
      <c r="I159" t="s">
        <v>1945</v>
      </c>
      <c r="J159" t="s">
        <v>2669</v>
      </c>
      <c r="K159" t="s">
        <v>1947</v>
      </c>
      <c r="L159" t="s">
        <v>6211</v>
      </c>
      <c r="M159" t="s">
        <v>6195</v>
      </c>
      <c r="N159">
        <v>2.5</v>
      </c>
      <c r="O159">
        <v>20.584999999999997</v>
      </c>
      <c r="P159">
        <v>0.82339999999999991</v>
      </c>
      <c r="Q159">
        <v>1.2350999999999999</v>
      </c>
      <c r="R159" s="5">
        <v>61.754999999999995</v>
      </c>
    </row>
    <row r="160" spans="1:18" x14ac:dyDescent="0.25">
      <c r="A160" t="s">
        <v>349</v>
      </c>
      <c r="B160" s="7">
        <v>43714</v>
      </c>
      <c r="C160" t="str">
        <f>TEXT(Table3[[#This Row],[Order Date]],"yyyy")</f>
        <v>2019</v>
      </c>
      <c r="D160" t="s">
        <v>6228</v>
      </c>
      <c r="E160" t="s">
        <v>350</v>
      </c>
      <c r="F160" t="s">
        <v>41</v>
      </c>
      <c r="G160">
        <v>6</v>
      </c>
      <c r="H160" t="s">
        <v>2671</v>
      </c>
      <c r="I160" t="s">
        <v>6210</v>
      </c>
      <c r="J160" t="s">
        <v>2674</v>
      </c>
      <c r="K160" t="s">
        <v>1938</v>
      </c>
      <c r="L160" t="s">
        <v>6211</v>
      </c>
      <c r="M160" t="s">
        <v>6195</v>
      </c>
      <c r="N160">
        <v>2.5</v>
      </c>
      <c r="O160">
        <v>20.584999999999997</v>
      </c>
      <c r="P160">
        <v>0.82339999999999991</v>
      </c>
      <c r="Q160">
        <v>1.2350999999999999</v>
      </c>
      <c r="R160" s="5">
        <v>123.50999999999999</v>
      </c>
    </row>
    <row r="161" spans="1:18" x14ac:dyDescent="0.25">
      <c r="A161" t="s">
        <v>351</v>
      </c>
      <c r="B161" s="7">
        <v>44316</v>
      </c>
      <c r="C161" t="str">
        <f>TEXT(Table3[[#This Row],[Order Date]],"yyyy")</f>
        <v>2021</v>
      </c>
      <c r="D161" t="s">
        <v>6236</v>
      </c>
      <c r="E161" t="s">
        <v>352</v>
      </c>
      <c r="F161" t="s">
        <v>110</v>
      </c>
      <c r="G161">
        <v>6</v>
      </c>
      <c r="H161" t="s">
        <v>2675</v>
      </c>
      <c r="I161" t="s">
        <v>6210</v>
      </c>
      <c r="J161" t="s">
        <v>2018</v>
      </c>
      <c r="K161" t="s">
        <v>1947</v>
      </c>
      <c r="L161" t="s">
        <v>6199</v>
      </c>
      <c r="M161" t="s">
        <v>6215</v>
      </c>
      <c r="N161">
        <v>2.5</v>
      </c>
      <c r="O161">
        <v>36.454999999999998</v>
      </c>
      <c r="P161">
        <v>1.4581999999999999</v>
      </c>
      <c r="Q161">
        <v>4.7391499999999995</v>
      </c>
      <c r="R161" s="5">
        <v>218.73</v>
      </c>
    </row>
    <row r="162" spans="1:18" x14ac:dyDescent="0.25">
      <c r="A162" t="s">
        <v>353</v>
      </c>
      <c r="B162" s="7">
        <v>43837</v>
      </c>
      <c r="C162" t="str">
        <f>TEXT(Table3[[#This Row],[Order Date]],"yyyy")</f>
        <v>2020</v>
      </c>
      <c r="D162" t="s">
        <v>6232</v>
      </c>
      <c r="E162" t="s">
        <v>354</v>
      </c>
      <c r="F162" t="s">
        <v>9</v>
      </c>
      <c r="G162">
        <v>4</v>
      </c>
      <c r="H162" t="s">
        <v>2678</v>
      </c>
      <c r="I162" t="s">
        <v>6210</v>
      </c>
      <c r="J162" t="s">
        <v>2358</v>
      </c>
      <c r="K162" t="s">
        <v>1947</v>
      </c>
      <c r="L162" t="s">
        <v>6212</v>
      </c>
      <c r="M162" t="s">
        <v>6193</v>
      </c>
      <c r="N162">
        <v>0.5</v>
      </c>
      <c r="O162">
        <v>8.25</v>
      </c>
      <c r="P162">
        <v>1.65</v>
      </c>
      <c r="Q162">
        <v>0.90749999999999997</v>
      </c>
      <c r="R162" s="5">
        <v>33</v>
      </c>
    </row>
    <row r="163" spans="1:18" x14ac:dyDescent="0.25">
      <c r="A163" t="s">
        <v>355</v>
      </c>
      <c r="B163" s="7">
        <v>44207</v>
      </c>
      <c r="C163" t="str">
        <f>TEXT(Table3[[#This Row],[Order Date]],"yyyy")</f>
        <v>2021</v>
      </c>
      <c r="D163" t="s">
        <v>6232</v>
      </c>
      <c r="E163" t="s">
        <v>356</v>
      </c>
      <c r="F163" t="s">
        <v>198</v>
      </c>
      <c r="G163">
        <v>3</v>
      </c>
      <c r="H163" t="s">
        <v>2682</v>
      </c>
      <c r="I163" t="s">
        <v>6210</v>
      </c>
      <c r="J163" t="s">
        <v>2182</v>
      </c>
      <c r="K163" t="s">
        <v>1947</v>
      </c>
      <c r="L163" t="s">
        <v>6213</v>
      </c>
      <c r="M163" t="s">
        <v>6215</v>
      </c>
      <c r="N163">
        <v>0.5</v>
      </c>
      <c r="O163">
        <v>7.77</v>
      </c>
      <c r="P163">
        <v>1.5539999999999998</v>
      </c>
      <c r="Q163">
        <v>0.69929999999999992</v>
      </c>
      <c r="R163" s="5">
        <v>23.31</v>
      </c>
    </row>
    <row r="164" spans="1:18" x14ac:dyDescent="0.25">
      <c r="A164" t="s">
        <v>357</v>
      </c>
      <c r="B164" s="7">
        <v>44515</v>
      </c>
      <c r="C164" t="str">
        <f>TEXT(Table3[[#This Row],[Order Date]],"yyyy")</f>
        <v>2021</v>
      </c>
      <c r="D164" t="s">
        <v>6239</v>
      </c>
      <c r="E164" t="s">
        <v>358</v>
      </c>
      <c r="F164" t="s">
        <v>22</v>
      </c>
      <c r="G164">
        <v>3</v>
      </c>
      <c r="H164" t="s">
        <v>2686</v>
      </c>
      <c r="I164" t="s">
        <v>6210</v>
      </c>
      <c r="J164" t="s">
        <v>2690</v>
      </c>
      <c r="K164" t="s">
        <v>1938</v>
      </c>
      <c r="L164" t="s">
        <v>6212</v>
      </c>
      <c r="M164" t="s">
        <v>6195</v>
      </c>
      <c r="N164">
        <v>0.5</v>
      </c>
      <c r="O164">
        <v>7.29</v>
      </c>
      <c r="P164">
        <v>1.458</v>
      </c>
      <c r="Q164">
        <v>0.80190000000000006</v>
      </c>
      <c r="R164" s="5">
        <v>21.87</v>
      </c>
    </row>
    <row r="165" spans="1:18" x14ac:dyDescent="0.25">
      <c r="A165" t="s">
        <v>359</v>
      </c>
      <c r="B165" s="7">
        <v>43619</v>
      </c>
      <c r="C165" t="str">
        <f>TEXT(Table3[[#This Row],[Order Date]],"yyyy")</f>
        <v>2019</v>
      </c>
      <c r="D165" t="s">
        <v>6229</v>
      </c>
      <c r="E165" t="s">
        <v>360</v>
      </c>
      <c r="F165" t="s">
        <v>107</v>
      </c>
      <c r="G165">
        <v>6</v>
      </c>
      <c r="H165" t="s">
        <v>2691</v>
      </c>
      <c r="I165" t="s">
        <v>6210</v>
      </c>
      <c r="J165" t="s">
        <v>2695</v>
      </c>
      <c r="K165" t="s">
        <v>1947</v>
      </c>
      <c r="L165" t="s">
        <v>6211</v>
      </c>
      <c r="M165" t="s">
        <v>6195</v>
      </c>
      <c r="N165">
        <v>0.2</v>
      </c>
      <c r="O165">
        <v>2.6849999999999996</v>
      </c>
      <c r="P165">
        <v>1.3424999999999998</v>
      </c>
      <c r="Q165">
        <v>0.16109999999999997</v>
      </c>
      <c r="R165" s="5">
        <v>16.11</v>
      </c>
    </row>
    <row r="166" spans="1:18" x14ac:dyDescent="0.25">
      <c r="A166" t="s">
        <v>361</v>
      </c>
      <c r="B166" s="7">
        <v>44182</v>
      </c>
      <c r="C166" t="str">
        <f>TEXT(Table3[[#This Row],[Order Date]],"yyyy")</f>
        <v>2020</v>
      </c>
      <c r="D166" t="s">
        <v>6237</v>
      </c>
      <c r="E166" t="s">
        <v>362</v>
      </c>
      <c r="F166" t="s">
        <v>22</v>
      </c>
      <c r="G166">
        <v>4</v>
      </c>
      <c r="H166" t="s">
        <v>2696</v>
      </c>
      <c r="I166" t="s">
        <v>1945</v>
      </c>
      <c r="J166" t="s">
        <v>2700</v>
      </c>
      <c r="K166" t="s">
        <v>1947</v>
      </c>
      <c r="L166" t="s">
        <v>6212</v>
      </c>
      <c r="M166" t="s">
        <v>6195</v>
      </c>
      <c r="N166">
        <v>0.5</v>
      </c>
      <c r="O166">
        <v>7.29</v>
      </c>
      <c r="P166">
        <v>1.458</v>
      </c>
      <c r="Q166">
        <v>0.80190000000000006</v>
      </c>
      <c r="R166" s="5">
        <v>29.16</v>
      </c>
    </row>
    <row r="167" spans="1:18" x14ac:dyDescent="0.25">
      <c r="A167" t="s">
        <v>363</v>
      </c>
      <c r="B167" s="7">
        <v>44234</v>
      </c>
      <c r="C167" t="str">
        <f>TEXT(Table3[[#This Row],[Order Date]],"yyyy")</f>
        <v>2021</v>
      </c>
      <c r="D167" t="s">
        <v>6238</v>
      </c>
      <c r="E167" t="s">
        <v>364</v>
      </c>
      <c r="F167" t="s">
        <v>185</v>
      </c>
      <c r="G167">
        <v>6</v>
      </c>
      <c r="H167" t="s">
        <v>2702</v>
      </c>
      <c r="I167" t="s">
        <v>6210</v>
      </c>
      <c r="J167" t="s">
        <v>2705</v>
      </c>
      <c r="K167" t="s">
        <v>1938</v>
      </c>
      <c r="L167" t="s">
        <v>6211</v>
      </c>
      <c r="M167" t="s">
        <v>6195</v>
      </c>
      <c r="N167">
        <v>1</v>
      </c>
      <c r="O167">
        <v>8.9499999999999993</v>
      </c>
      <c r="P167">
        <v>0.89499999999999991</v>
      </c>
      <c r="Q167">
        <v>0.53699999999999992</v>
      </c>
      <c r="R167" s="5">
        <v>53.699999999999996</v>
      </c>
    </row>
    <row r="168" spans="1:18" x14ac:dyDescent="0.25">
      <c r="A168" t="s">
        <v>365</v>
      </c>
      <c r="B168" s="7">
        <v>44270</v>
      </c>
      <c r="C168" t="str">
        <f>TEXT(Table3[[#This Row],[Order Date]],"yyyy")</f>
        <v>2021</v>
      </c>
      <c r="D168" t="s">
        <v>6234</v>
      </c>
      <c r="E168" t="s">
        <v>366</v>
      </c>
      <c r="F168" t="s">
        <v>152</v>
      </c>
      <c r="G168">
        <v>5</v>
      </c>
      <c r="H168" t="s">
        <v>2706</v>
      </c>
      <c r="I168" t="s">
        <v>6210</v>
      </c>
      <c r="J168" t="s">
        <v>2709</v>
      </c>
      <c r="K168" t="s">
        <v>1938</v>
      </c>
      <c r="L168" t="s">
        <v>6211</v>
      </c>
      <c r="M168" t="s">
        <v>6195</v>
      </c>
      <c r="N168">
        <v>0.5</v>
      </c>
      <c r="O168">
        <v>5.3699999999999992</v>
      </c>
      <c r="P168">
        <v>1.0739999999999998</v>
      </c>
      <c r="Q168">
        <v>0.32219999999999993</v>
      </c>
      <c r="R168" s="5">
        <v>26.849999999999994</v>
      </c>
    </row>
    <row r="169" spans="1:18" x14ac:dyDescent="0.25">
      <c r="A169" t="s">
        <v>367</v>
      </c>
      <c r="B169" s="7">
        <v>44777</v>
      </c>
      <c r="C169" t="str">
        <f>TEXT(Table3[[#This Row],[Order Date]],"yyyy")</f>
        <v>2022</v>
      </c>
      <c r="D169" t="s">
        <v>6231</v>
      </c>
      <c r="E169" t="s">
        <v>368</v>
      </c>
      <c r="F169" t="s">
        <v>9</v>
      </c>
      <c r="G169">
        <v>5</v>
      </c>
      <c r="H169" t="s">
        <v>2710</v>
      </c>
      <c r="I169" t="s">
        <v>6210</v>
      </c>
      <c r="J169" t="s">
        <v>2705</v>
      </c>
      <c r="K169" t="s">
        <v>1938</v>
      </c>
      <c r="L169" t="s">
        <v>6212</v>
      </c>
      <c r="M169" t="s">
        <v>6193</v>
      </c>
      <c r="N169">
        <v>0.5</v>
      </c>
      <c r="O169">
        <v>8.25</v>
      </c>
      <c r="P169">
        <v>1.65</v>
      </c>
      <c r="Q169">
        <v>0.90749999999999997</v>
      </c>
      <c r="R169" s="5">
        <v>41.25</v>
      </c>
    </row>
    <row r="170" spans="1:18" x14ac:dyDescent="0.25">
      <c r="A170" t="s">
        <v>369</v>
      </c>
      <c r="B170" s="7">
        <v>43484</v>
      </c>
      <c r="C170" t="str">
        <f>TEXT(Table3[[#This Row],[Order Date]],"yyyy")</f>
        <v>2019</v>
      </c>
      <c r="D170" t="s">
        <v>6232</v>
      </c>
      <c r="E170" t="s">
        <v>370</v>
      </c>
      <c r="F170" t="s">
        <v>73</v>
      </c>
      <c r="G170">
        <v>6</v>
      </c>
      <c r="H170" t="s">
        <v>2714</v>
      </c>
      <c r="I170" t="s">
        <v>1945</v>
      </c>
      <c r="J170" t="s">
        <v>2700</v>
      </c>
      <c r="K170" t="s">
        <v>1947</v>
      </c>
      <c r="L170" t="s">
        <v>6213</v>
      </c>
      <c r="M170" t="s">
        <v>6193</v>
      </c>
      <c r="N170">
        <v>0.5</v>
      </c>
      <c r="O170">
        <v>6.75</v>
      </c>
      <c r="P170">
        <v>1.35</v>
      </c>
      <c r="Q170">
        <v>0.60749999999999993</v>
      </c>
      <c r="R170" s="5">
        <v>40.5</v>
      </c>
    </row>
    <row r="171" spans="1:18" x14ac:dyDescent="0.25">
      <c r="A171" t="s">
        <v>371</v>
      </c>
      <c r="B171" s="7">
        <v>44643</v>
      </c>
      <c r="C171" t="str">
        <f>TEXT(Table3[[#This Row],[Order Date]],"yyyy")</f>
        <v>2022</v>
      </c>
      <c r="D171" t="s">
        <v>6234</v>
      </c>
      <c r="E171" t="s">
        <v>372</v>
      </c>
      <c r="F171" t="s">
        <v>185</v>
      </c>
      <c r="G171">
        <v>2</v>
      </c>
      <c r="H171" t="s">
        <v>2717</v>
      </c>
      <c r="I171" t="s">
        <v>1945</v>
      </c>
      <c r="J171" t="s">
        <v>2721</v>
      </c>
      <c r="K171" t="s">
        <v>1947</v>
      </c>
      <c r="L171" t="s">
        <v>6211</v>
      </c>
      <c r="M171" t="s">
        <v>6195</v>
      </c>
      <c r="N171">
        <v>1</v>
      </c>
      <c r="O171">
        <v>8.9499999999999993</v>
      </c>
      <c r="P171">
        <v>0.89499999999999991</v>
      </c>
      <c r="Q171">
        <v>0.53699999999999992</v>
      </c>
      <c r="R171" s="5">
        <v>17.899999999999999</v>
      </c>
    </row>
    <row r="172" spans="1:18" x14ac:dyDescent="0.25">
      <c r="A172" t="s">
        <v>373</v>
      </c>
      <c r="B172" s="7">
        <v>44476</v>
      </c>
      <c r="C172" t="str">
        <f>TEXT(Table3[[#This Row],[Order Date]],"yyyy")</f>
        <v>2021</v>
      </c>
      <c r="D172" t="s">
        <v>6235</v>
      </c>
      <c r="E172" t="s">
        <v>374</v>
      </c>
      <c r="F172" t="s">
        <v>36</v>
      </c>
      <c r="G172">
        <v>2</v>
      </c>
      <c r="H172" t="s">
        <v>2723</v>
      </c>
      <c r="I172" t="s">
        <v>2112</v>
      </c>
      <c r="J172" t="s">
        <v>2725</v>
      </c>
      <c r="K172" t="s">
        <v>1947</v>
      </c>
      <c r="L172" t="s">
        <v>6212</v>
      </c>
      <c r="M172" t="s">
        <v>6215</v>
      </c>
      <c r="N172">
        <v>2.5</v>
      </c>
      <c r="O172">
        <v>34.154999999999994</v>
      </c>
      <c r="P172">
        <v>1.3661999999999999</v>
      </c>
      <c r="Q172">
        <v>3.7570499999999996</v>
      </c>
      <c r="R172" s="5">
        <v>68.309999999999988</v>
      </c>
    </row>
    <row r="173" spans="1:18" x14ac:dyDescent="0.25">
      <c r="A173" t="s">
        <v>375</v>
      </c>
      <c r="B173" s="7">
        <v>43544</v>
      </c>
      <c r="C173" t="str">
        <f>TEXT(Table3[[#This Row],[Order Date]],"yyyy")</f>
        <v>2019</v>
      </c>
      <c r="D173" t="s">
        <v>6234</v>
      </c>
      <c r="E173" t="s">
        <v>376</v>
      </c>
      <c r="F173" t="s">
        <v>118</v>
      </c>
      <c r="G173">
        <v>2</v>
      </c>
      <c r="H173" t="s">
        <v>2727</v>
      </c>
      <c r="I173" t="s">
        <v>6210</v>
      </c>
      <c r="J173" t="s">
        <v>2216</v>
      </c>
      <c r="K173" t="s">
        <v>1938</v>
      </c>
      <c r="L173" t="s">
        <v>6212</v>
      </c>
      <c r="M173" t="s">
        <v>6193</v>
      </c>
      <c r="N173">
        <v>2.5</v>
      </c>
      <c r="O173">
        <v>31.624999999999996</v>
      </c>
      <c r="P173">
        <v>1.2649999999999999</v>
      </c>
      <c r="Q173">
        <v>3.4787499999999998</v>
      </c>
      <c r="R173" s="5">
        <v>63.249999999999993</v>
      </c>
    </row>
    <row r="174" spans="1:18" x14ac:dyDescent="0.25">
      <c r="A174" t="s">
        <v>377</v>
      </c>
      <c r="B174" s="7">
        <v>44545</v>
      </c>
      <c r="C174" t="str">
        <f>TEXT(Table3[[#This Row],[Order Date]],"yyyy")</f>
        <v>2021</v>
      </c>
      <c r="D174" t="s">
        <v>6237</v>
      </c>
      <c r="E174" t="s">
        <v>378</v>
      </c>
      <c r="F174" t="s">
        <v>22</v>
      </c>
      <c r="G174">
        <v>3</v>
      </c>
      <c r="H174" t="s">
        <v>2731</v>
      </c>
      <c r="I174" t="s">
        <v>1945</v>
      </c>
      <c r="J174" t="s">
        <v>2734</v>
      </c>
      <c r="K174" t="s">
        <v>1947</v>
      </c>
      <c r="L174" t="s">
        <v>6212</v>
      </c>
      <c r="M174" t="s">
        <v>6195</v>
      </c>
      <c r="N174">
        <v>0.5</v>
      </c>
      <c r="O174">
        <v>7.29</v>
      </c>
      <c r="P174">
        <v>1.458</v>
      </c>
      <c r="Q174">
        <v>0.80190000000000006</v>
      </c>
      <c r="R174" s="5">
        <v>21.87</v>
      </c>
    </row>
    <row r="175" spans="1:18" x14ac:dyDescent="0.25">
      <c r="A175" t="s">
        <v>379</v>
      </c>
      <c r="B175" s="7">
        <v>44720</v>
      </c>
      <c r="C175" t="str">
        <f>TEXT(Table3[[#This Row],[Order Date]],"yyyy")</f>
        <v>2022</v>
      </c>
      <c r="D175" t="s">
        <v>6229</v>
      </c>
      <c r="E175" t="s">
        <v>380</v>
      </c>
      <c r="F175" t="s">
        <v>47</v>
      </c>
      <c r="G175">
        <v>4</v>
      </c>
      <c r="H175" t="s">
        <v>2735</v>
      </c>
      <c r="I175" t="s">
        <v>6210</v>
      </c>
      <c r="J175" t="s">
        <v>2739</v>
      </c>
      <c r="K175" t="s">
        <v>1947</v>
      </c>
      <c r="L175" t="s">
        <v>6211</v>
      </c>
      <c r="M175" t="s">
        <v>6193</v>
      </c>
      <c r="N175">
        <v>2.5</v>
      </c>
      <c r="O175">
        <v>22.884999999999998</v>
      </c>
      <c r="P175">
        <v>0.91539999999999988</v>
      </c>
      <c r="Q175">
        <v>1.3730999999999998</v>
      </c>
      <c r="R175" s="5">
        <v>91.539999999999992</v>
      </c>
    </row>
    <row r="176" spans="1:18" x14ac:dyDescent="0.25">
      <c r="A176" t="s">
        <v>381</v>
      </c>
      <c r="B176" s="7">
        <v>43813</v>
      </c>
      <c r="C176" t="str">
        <f>TEXT(Table3[[#This Row],[Order Date]],"yyyy")</f>
        <v>2019</v>
      </c>
      <c r="D176" t="s">
        <v>6237</v>
      </c>
      <c r="E176" t="s">
        <v>382</v>
      </c>
      <c r="F176" t="s">
        <v>36</v>
      </c>
      <c r="G176">
        <v>6</v>
      </c>
      <c r="H176" t="s">
        <v>2740</v>
      </c>
      <c r="I176" t="s">
        <v>6210</v>
      </c>
      <c r="J176" t="s">
        <v>2743</v>
      </c>
      <c r="K176" t="s">
        <v>1938</v>
      </c>
      <c r="L176" t="s">
        <v>6212</v>
      </c>
      <c r="M176" t="s">
        <v>6215</v>
      </c>
      <c r="N176">
        <v>2.5</v>
      </c>
      <c r="O176">
        <v>34.154999999999994</v>
      </c>
      <c r="P176">
        <v>1.3661999999999999</v>
      </c>
      <c r="Q176">
        <v>3.7570499999999996</v>
      </c>
      <c r="R176" s="5">
        <v>204.92999999999995</v>
      </c>
    </row>
    <row r="177" spans="1:18" x14ac:dyDescent="0.25">
      <c r="A177" t="s">
        <v>383</v>
      </c>
      <c r="B177" s="7">
        <v>44296</v>
      </c>
      <c r="C177" t="str">
        <f>TEXT(Table3[[#This Row],[Order Date]],"yyyy")</f>
        <v>2021</v>
      </c>
      <c r="D177" t="s">
        <v>6236</v>
      </c>
      <c r="E177" t="s">
        <v>384</v>
      </c>
      <c r="F177" t="s">
        <v>118</v>
      </c>
      <c r="G177">
        <v>2</v>
      </c>
      <c r="H177" t="s">
        <v>2744</v>
      </c>
      <c r="I177" t="s">
        <v>6210</v>
      </c>
      <c r="J177" t="s">
        <v>2748</v>
      </c>
      <c r="K177" t="s">
        <v>1938</v>
      </c>
      <c r="L177" t="s">
        <v>6212</v>
      </c>
      <c r="M177" t="s">
        <v>6193</v>
      </c>
      <c r="N177">
        <v>2.5</v>
      </c>
      <c r="O177">
        <v>31.624999999999996</v>
      </c>
      <c r="P177">
        <v>1.2649999999999999</v>
      </c>
      <c r="Q177">
        <v>3.4787499999999998</v>
      </c>
      <c r="R177" s="5">
        <v>63.249999999999993</v>
      </c>
    </row>
    <row r="178" spans="1:18" x14ac:dyDescent="0.25">
      <c r="A178" t="s">
        <v>385</v>
      </c>
      <c r="B178" s="7">
        <v>43900</v>
      </c>
      <c r="C178" t="str">
        <f>TEXT(Table3[[#This Row],[Order Date]],"yyyy")</f>
        <v>2020</v>
      </c>
      <c r="D178" t="s">
        <v>6234</v>
      </c>
      <c r="E178" t="s">
        <v>386</v>
      </c>
      <c r="F178" t="s">
        <v>36</v>
      </c>
      <c r="G178">
        <v>1</v>
      </c>
      <c r="H178" t="s">
        <v>2749</v>
      </c>
      <c r="I178" t="s">
        <v>6210</v>
      </c>
      <c r="J178" t="s">
        <v>2753</v>
      </c>
      <c r="K178" t="s">
        <v>1938</v>
      </c>
      <c r="L178" t="s">
        <v>6212</v>
      </c>
      <c r="M178" t="s">
        <v>6215</v>
      </c>
      <c r="N178">
        <v>2.5</v>
      </c>
      <c r="O178">
        <v>34.154999999999994</v>
      </c>
      <c r="P178">
        <v>1.3661999999999999</v>
      </c>
      <c r="Q178">
        <v>3.7570499999999996</v>
      </c>
      <c r="R178" s="5">
        <v>34.154999999999994</v>
      </c>
    </row>
    <row r="179" spans="1:18" x14ac:dyDescent="0.25">
      <c r="A179" t="s">
        <v>387</v>
      </c>
      <c r="B179" s="7">
        <v>44120</v>
      </c>
      <c r="C179" t="str">
        <f>TEXT(Table3[[#This Row],[Order Date]],"yyyy")</f>
        <v>2020</v>
      </c>
      <c r="D179" t="s">
        <v>6235</v>
      </c>
      <c r="E179" t="s">
        <v>388</v>
      </c>
      <c r="F179" t="s">
        <v>16</v>
      </c>
      <c r="G179">
        <v>4</v>
      </c>
      <c r="H179" t="s">
        <v>2754</v>
      </c>
      <c r="I179" t="s">
        <v>6210</v>
      </c>
      <c r="J179" t="s">
        <v>2757</v>
      </c>
      <c r="K179" t="s">
        <v>1938</v>
      </c>
      <c r="L179" t="s">
        <v>6211</v>
      </c>
      <c r="M179" t="s">
        <v>6215</v>
      </c>
      <c r="N179">
        <v>2.5</v>
      </c>
      <c r="O179">
        <v>27.484999999999996</v>
      </c>
      <c r="P179">
        <v>1.0993999999999999</v>
      </c>
      <c r="Q179">
        <v>1.6490999999999998</v>
      </c>
      <c r="R179" s="5">
        <v>109.93999999999998</v>
      </c>
    </row>
    <row r="180" spans="1:18" x14ac:dyDescent="0.25">
      <c r="A180" t="s">
        <v>389</v>
      </c>
      <c r="B180" s="7">
        <v>43746</v>
      </c>
      <c r="C180" t="str">
        <f>TEXT(Table3[[#This Row],[Order Date]],"yyyy")</f>
        <v>2019</v>
      </c>
      <c r="D180" t="s">
        <v>6235</v>
      </c>
      <c r="E180" t="s">
        <v>390</v>
      </c>
      <c r="F180" t="s">
        <v>12</v>
      </c>
      <c r="G180">
        <v>2</v>
      </c>
      <c r="H180" t="s">
        <v>2758</v>
      </c>
      <c r="I180" t="s">
        <v>6210</v>
      </c>
      <c r="J180" t="s">
        <v>2159</v>
      </c>
      <c r="K180" t="s">
        <v>1947</v>
      </c>
      <c r="L180" t="s">
        <v>6213</v>
      </c>
      <c r="M180" t="s">
        <v>6215</v>
      </c>
      <c r="N180">
        <v>1</v>
      </c>
      <c r="O180">
        <v>12.95</v>
      </c>
      <c r="P180">
        <v>1.2949999999999999</v>
      </c>
      <c r="Q180">
        <v>1.1655</v>
      </c>
      <c r="R180" s="5">
        <v>25.9</v>
      </c>
    </row>
    <row r="181" spans="1:18" x14ac:dyDescent="0.25">
      <c r="A181" t="s">
        <v>391</v>
      </c>
      <c r="B181" s="7">
        <v>43830</v>
      </c>
      <c r="C181" t="str">
        <f>TEXT(Table3[[#This Row],[Order Date]],"yyyy")</f>
        <v>2019</v>
      </c>
      <c r="D181" t="s">
        <v>6237</v>
      </c>
      <c r="E181" t="s">
        <v>392</v>
      </c>
      <c r="F181" t="s">
        <v>60</v>
      </c>
      <c r="G181">
        <v>1</v>
      </c>
      <c r="H181" t="s">
        <v>2762</v>
      </c>
      <c r="I181" t="s">
        <v>1945</v>
      </c>
      <c r="J181" t="s">
        <v>2765</v>
      </c>
      <c r="K181" t="s">
        <v>1947</v>
      </c>
      <c r="L181" t="s">
        <v>6213</v>
      </c>
      <c r="M181" t="s">
        <v>6195</v>
      </c>
      <c r="N181">
        <v>0.2</v>
      </c>
      <c r="O181">
        <v>2.9849999999999999</v>
      </c>
      <c r="P181">
        <v>1.4924999999999999</v>
      </c>
      <c r="Q181">
        <v>0.26865</v>
      </c>
      <c r="R181" s="5">
        <v>2.9849999999999999</v>
      </c>
    </row>
    <row r="182" spans="1:18" x14ac:dyDescent="0.25">
      <c r="A182" t="s">
        <v>393</v>
      </c>
      <c r="B182" s="7">
        <v>43910</v>
      </c>
      <c r="C182" t="str">
        <f>TEXT(Table3[[#This Row],[Order Date]],"yyyy")</f>
        <v>2020</v>
      </c>
      <c r="D182" t="s">
        <v>6234</v>
      </c>
      <c r="E182" t="s">
        <v>394</v>
      </c>
      <c r="F182" t="s">
        <v>260</v>
      </c>
      <c r="G182">
        <v>5</v>
      </c>
      <c r="H182" t="s">
        <v>2767</v>
      </c>
      <c r="I182" t="s">
        <v>6210</v>
      </c>
      <c r="J182" t="s">
        <v>2771</v>
      </c>
      <c r="K182" t="s">
        <v>1947</v>
      </c>
      <c r="L182" t="s">
        <v>6212</v>
      </c>
      <c r="M182" t="s">
        <v>6215</v>
      </c>
      <c r="N182">
        <v>0.2</v>
      </c>
      <c r="O182">
        <v>4.4550000000000001</v>
      </c>
      <c r="P182">
        <v>2.2275</v>
      </c>
      <c r="Q182">
        <v>0.49004999999999999</v>
      </c>
      <c r="R182" s="5">
        <v>22.274999999999999</v>
      </c>
    </row>
    <row r="183" spans="1:18" x14ac:dyDescent="0.25">
      <c r="A183" t="s">
        <v>393</v>
      </c>
      <c r="B183" s="7">
        <v>43910</v>
      </c>
      <c r="C183" t="str">
        <f>TEXT(Table3[[#This Row],[Order Date]],"yyyy")</f>
        <v>2020</v>
      </c>
      <c r="D183" t="s">
        <v>6234</v>
      </c>
      <c r="E183" t="s">
        <v>394</v>
      </c>
      <c r="F183" t="s">
        <v>78</v>
      </c>
      <c r="G183">
        <v>5</v>
      </c>
      <c r="H183" t="s">
        <v>2767</v>
      </c>
      <c r="I183" t="s">
        <v>6210</v>
      </c>
      <c r="J183" t="s">
        <v>2771</v>
      </c>
      <c r="K183" t="s">
        <v>1947</v>
      </c>
      <c r="L183" t="s">
        <v>6213</v>
      </c>
      <c r="M183" t="s">
        <v>6195</v>
      </c>
      <c r="N183">
        <v>0.5</v>
      </c>
      <c r="O183">
        <v>5.97</v>
      </c>
      <c r="P183">
        <v>1.194</v>
      </c>
      <c r="Q183">
        <v>0.5373</v>
      </c>
      <c r="R183" s="5">
        <v>29.849999999999998</v>
      </c>
    </row>
    <row r="184" spans="1:18" x14ac:dyDescent="0.25">
      <c r="A184" t="s">
        <v>395</v>
      </c>
      <c r="B184" s="7">
        <v>44284</v>
      </c>
      <c r="C184" t="str">
        <f>TEXT(Table3[[#This Row],[Order Date]],"yyyy")</f>
        <v>2021</v>
      </c>
      <c r="D184" t="s">
        <v>6234</v>
      </c>
      <c r="E184" t="s">
        <v>396</v>
      </c>
      <c r="F184" t="s">
        <v>152</v>
      </c>
      <c r="G184">
        <v>6</v>
      </c>
      <c r="H184" t="s">
        <v>2777</v>
      </c>
      <c r="I184" t="s">
        <v>6210</v>
      </c>
      <c r="J184" t="s">
        <v>2781</v>
      </c>
      <c r="K184" t="s">
        <v>1947</v>
      </c>
      <c r="L184" t="s">
        <v>6211</v>
      </c>
      <c r="M184" t="s">
        <v>6195</v>
      </c>
      <c r="N184">
        <v>0.5</v>
      </c>
      <c r="O184">
        <v>5.3699999999999992</v>
      </c>
      <c r="P184">
        <v>1.0739999999999998</v>
      </c>
      <c r="Q184">
        <v>0.32219999999999993</v>
      </c>
      <c r="R184" s="5">
        <v>32.22</v>
      </c>
    </row>
    <row r="185" spans="1:18" x14ac:dyDescent="0.25">
      <c r="A185" t="s">
        <v>397</v>
      </c>
      <c r="B185" s="7">
        <v>44512</v>
      </c>
      <c r="C185" t="str">
        <f>TEXT(Table3[[#This Row],[Order Date]],"yyyy")</f>
        <v>2021</v>
      </c>
      <c r="D185" t="s">
        <v>6239</v>
      </c>
      <c r="E185" t="s">
        <v>398</v>
      </c>
      <c r="F185" t="s">
        <v>70</v>
      </c>
      <c r="G185">
        <v>2</v>
      </c>
      <c r="H185" t="s">
        <v>2782</v>
      </c>
      <c r="I185" t="s">
        <v>6210</v>
      </c>
      <c r="J185" t="s">
        <v>2786</v>
      </c>
      <c r="K185" t="s">
        <v>1947</v>
      </c>
      <c r="L185" t="s">
        <v>6212</v>
      </c>
      <c r="M185" t="s">
        <v>6193</v>
      </c>
      <c r="N185">
        <v>0.2</v>
      </c>
      <c r="O185">
        <v>4.125</v>
      </c>
      <c r="P185">
        <v>2.0625</v>
      </c>
      <c r="Q185">
        <v>0.45374999999999999</v>
      </c>
      <c r="R185" s="5">
        <v>8.25</v>
      </c>
    </row>
    <row r="186" spans="1:18" x14ac:dyDescent="0.25">
      <c r="A186" t="s">
        <v>399</v>
      </c>
      <c r="B186" s="7">
        <v>44397</v>
      </c>
      <c r="C186" t="str">
        <f>TEXT(Table3[[#This Row],[Order Date]],"yyyy")</f>
        <v>2021</v>
      </c>
      <c r="D186" t="s">
        <v>6230</v>
      </c>
      <c r="E186" t="s">
        <v>400</v>
      </c>
      <c r="F186" t="s">
        <v>198</v>
      </c>
      <c r="G186">
        <v>4</v>
      </c>
      <c r="H186" t="s">
        <v>2787</v>
      </c>
      <c r="I186" t="s">
        <v>6210</v>
      </c>
      <c r="J186" t="s">
        <v>2133</v>
      </c>
      <c r="K186" t="s">
        <v>1947</v>
      </c>
      <c r="L186" t="s">
        <v>6213</v>
      </c>
      <c r="M186" t="s">
        <v>6215</v>
      </c>
      <c r="N186">
        <v>0.5</v>
      </c>
      <c r="O186">
        <v>7.77</v>
      </c>
      <c r="P186">
        <v>1.5539999999999998</v>
      </c>
      <c r="Q186">
        <v>0.69929999999999992</v>
      </c>
      <c r="R186" s="5">
        <v>31.08</v>
      </c>
    </row>
    <row r="187" spans="1:18" x14ac:dyDescent="0.25">
      <c r="A187" t="s">
        <v>401</v>
      </c>
      <c r="B187" s="7">
        <v>43483</v>
      </c>
      <c r="C187" t="str">
        <f>TEXT(Table3[[#This Row],[Order Date]],"yyyy")</f>
        <v>2019</v>
      </c>
      <c r="D187" t="s">
        <v>6232</v>
      </c>
      <c r="E187" t="s">
        <v>402</v>
      </c>
      <c r="F187" t="s">
        <v>22</v>
      </c>
      <c r="G187">
        <v>5</v>
      </c>
      <c r="H187" t="s">
        <v>2791</v>
      </c>
      <c r="I187" t="s">
        <v>6210</v>
      </c>
      <c r="J187" t="s">
        <v>2795</v>
      </c>
      <c r="K187" t="s">
        <v>1938</v>
      </c>
      <c r="L187" t="s">
        <v>6212</v>
      </c>
      <c r="M187" t="s">
        <v>6195</v>
      </c>
      <c r="N187">
        <v>0.5</v>
      </c>
      <c r="O187">
        <v>7.29</v>
      </c>
      <c r="P187">
        <v>1.458</v>
      </c>
      <c r="Q187">
        <v>0.80190000000000006</v>
      </c>
      <c r="R187" s="5">
        <v>36.450000000000003</v>
      </c>
    </row>
    <row r="188" spans="1:18" x14ac:dyDescent="0.25">
      <c r="A188" t="s">
        <v>403</v>
      </c>
      <c r="B188" s="7">
        <v>43684</v>
      </c>
      <c r="C188" t="str">
        <f>TEXT(Table3[[#This Row],[Order Date]],"yyyy")</f>
        <v>2019</v>
      </c>
      <c r="D188" t="s">
        <v>6231</v>
      </c>
      <c r="E188" t="s">
        <v>404</v>
      </c>
      <c r="F188" t="s">
        <v>47</v>
      </c>
      <c r="G188">
        <v>3</v>
      </c>
      <c r="H188" t="s">
        <v>2796</v>
      </c>
      <c r="I188" t="s">
        <v>6210</v>
      </c>
      <c r="J188" t="s">
        <v>2106</v>
      </c>
      <c r="K188" t="s">
        <v>1947</v>
      </c>
      <c r="L188" t="s">
        <v>6211</v>
      </c>
      <c r="M188" t="s">
        <v>6193</v>
      </c>
      <c r="N188">
        <v>2.5</v>
      </c>
      <c r="O188">
        <v>22.884999999999998</v>
      </c>
      <c r="P188">
        <v>0.91539999999999988</v>
      </c>
      <c r="Q188">
        <v>1.3730999999999998</v>
      </c>
      <c r="R188" s="5">
        <v>68.655000000000001</v>
      </c>
    </row>
    <row r="189" spans="1:18" x14ac:dyDescent="0.25">
      <c r="A189" t="s">
        <v>405</v>
      </c>
      <c r="B189" s="7">
        <v>44633</v>
      </c>
      <c r="C189" t="str">
        <f>TEXT(Table3[[#This Row],[Order Date]],"yyyy")</f>
        <v>2022</v>
      </c>
      <c r="D189" t="s">
        <v>6234</v>
      </c>
      <c r="E189" t="s">
        <v>406</v>
      </c>
      <c r="F189" t="s">
        <v>84</v>
      </c>
      <c r="G189">
        <v>5</v>
      </c>
      <c r="H189" t="s">
        <v>2800</v>
      </c>
      <c r="I189" t="s">
        <v>6210</v>
      </c>
      <c r="J189" t="s">
        <v>2497</v>
      </c>
      <c r="K189" t="s">
        <v>1938</v>
      </c>
      <c r="L189" t="s">
        <v>6199</v>
      </c>
      <c r="M189" t="s">
        <v>6193</v>
      </c>
      <c r="N189">
        <v>0.5</v>
      </c>
      <c r="O189">
        <v>8.73</v>
      </c>
      <c r="P189">
        <v>1.746</v>
      </c>
      <c r="Q189">
        <v>1.1349</v>
      </c>
      <c r="R189" s="5">
        <v>43.650000000000006</v>
      </c>
    </row>
    <row r="190" spans="1:18" x14ac:dyDescent="0.25">
      <c r="A190" t="s">
        <v>407</v>
      </c>
      <c r="B190" s="7">
        <v>44698</v>
      </c>
      <c r="C190" t="str">
        <f>TEXT(Table3[[#This Row],[Order Date]],"yyyy")</f>
        <v>2022</v>
      </c>
      <c r="D190" t="s">
        <v>6233</v>
      </c>
      <c r="E190" t="s">
        <v>408</v>
      </c>
      <c r="F190" t="s">
        <v>260</v>
      </c>
      <c r="G190">
        <v>1</v>
      </c>
      <c r="H190" t="s">
        <v>2803</v>
      </c>
      <c r="I190" t="s">
        <v>6210</v>
      </c>
      <c r="J190" t="s">
        <v>2358</v>
      </c>
      <c r="K190" t="s">
        <v>1938</v>
      </c>
      <c r="L190" t="s">
        <v>6212</v>
      </c>
      <c r="M190" t="s">
        <v>6215</v>
      </c>
      <c r="N190">
        <v>0.2</v>
      </c>
      <c r="O190">
        <v>4.4550000000000001</v>
      </c>
      <c r="P190">
        <v>2.2275</v>
      </c>
      <c r="Q190">
        <v>0.49004999999999999</v>
      </c>
      <c r="R190" s="5">
        <v>4.4550000000000001</v>
      </c>
    </row>
    <row r="191" spans="1:18" x14ac:dyDescent="0.25">
      <c r="A191" t="s">
        <v>409</v>
      </c>
      <c r="B191" s="7">
        <v>43813</v>
      </c>
      <c r="C191" t="str">
        <f>TEXT(Table3[[#This Row],[Order Date]],"yyyy")</f>
        <v>2019</v>
      </c>
      <c r="D191" t="s">
        <v>6237</v>
      </c>
      <c r="E191" t="s">
        <v>410</v>
      </c>
      <c r="F191" t="s">
        <v>102</v>
      </c>
      <c r="G191">
        <v>3</v>
      </c>
      <c r="H191" t="s">
        <v>2807</v>
      </c>
      <c r="I191" t="s">
        <v>6210</v>
      </c>
      <c r="J191" t="s">
        <v>2811</v>
      </c>
      <c r="K191" t="s">
        <v>1938</v>
      </c>
      <c r="L191" t="s">
        <v>6199</v>
      </c>
      <c r="M191" t="s">
        <v>6193</v>
      </c>
      <c r="N191">
        <v>1</v>
      </c>
      <c r="O191">
        <v>14.55</v>
      </c>
      <c r="P191">
        <v>1.4550000000000001</v>
      </c>
      <c r="Q191">
        <v>1.8915000000000002</v>
      </c>
      <c r="R191" s="5">
        <v>43.650000000000006</v>
      </c>
    </row>
    <row r="192" spans="1:18" x14ac:dyDescent="0.25">
      <c r="A192" t="s">
        <v>411</v>
      </c>
      <c r="B192" s="7">
        <v>43845</v>
      </c>
      <c r="C192" t="str">
        <f>TEXT(Table3[[#This Row],[Order Date]],"yyyy")</f>
        <v>2020</v>
      </c>
      <c r="D192" t="s">
        <v>6232</v>
      </c>
      <c r="E192" t="s">
        <v>412</v>
      </c>
      <c r="F192" t="s">
        <v>203</v>
      </c>
      <c r="G192">
        <v>1</v>
      </c>
      <c r="H192" t="s">
        <v>2812</v>
      </c>
      <c r="I192" t="s">
        <v>6210</v>
      </c>
      <c r="J192" t="s">
        <v>2816</v>
      </c>
      <c r="K192" t="s">
        <v>1938</v>
      </c>
      <c r="L192" t="s">
        <v>6199</v>
      </c>
      <c r="M192" t="s">
        <v>6193</v>
      </c>
      <c r="N192">
        <v>2.5</v>
      </c>
      <c r="O192">
        <v>33.464999999999996</v>
      </c>
      <c r="P192">
        <v>1.3385999999999998</v>
      </c>
      <c r="Q192">
        <v>4.3504499999999995</v>
      </c>
      <c r="R192" s="5">
        <v>33.464999999999996</v>
      </c>
    </row>
    <row r="193" spans="1:18" x14ac:dyDescent="0.25">
      <c r="A193" t="s">
        <v>413</v>
      </c>
      <c r="B193" s="7">
        <v>43567</v>
      </c>
      <c r="C193" t="str">
        <f>TEXT(Table3[[#This Row],[Order Date]],"yyyy")</f>
        <v>2019</v>
      </c>
      <c r="D193" t="s">
        <v>6236</v>
      </c>
      <c r="E193" t="s">
        <v>414</v>
      </c>
      <c r="F193" t="s">
        <v>44</v>
      </c>
      <c r="G193">
        <v>5</v>
      </c>
      <c r="H193" t="s">
        <v>2817</v>
      </c>
      <c r="I193" t="s">
        <v>6210</v>
      </c>
      <c r="J193" t="s">
        <v>2182</v>
      </c>
      <c r="K193" t="s">
        <v>1938</v>
      </c>
      <c r="L193" t="s">
        <v>6199</v>
      </c>
      <c r="M193" t="s">
        <v>6195</v>
      </c>
      <c r="N193">
        <v>0.2</v>
      </c>
      <c r="O193">
        <v>3.8849999999999998</v>
      </c>
      <c r="P193">
        <v>1.9424999999999999</v>
      </c>
      <c r="Q193">
        <v>0.50505</v>
      </c>
      <c r="R193" s="5">
        <v>19.424999999999997</v>
      </c>
    </row>
    <row r="194" spans="1:18" x14ac:dyDescent="0.25">
      <c r="A194" t="s">
        <v>415</v>
      </c>
      <c r="B194" s="7">
        <v>43919</v>
      </c>
      <c r="C194" t="str">
        <f>TEXT(Table3[[#This Row],[Order Date]],"yyyy")</f>
        <v>2020</v>
      </c>
      <c r="D194" t="s">
        <v>6234</v>
      </c>
      <c r="E194" t="s">
        <v>416</v>
      </c>
      <c r="F194" t="s">
        <v>251</v>
      </c>
      <c r="G194">
        <v>6</v>
      </c>
      <c r="H194" t="s">
        <v>2821</v>
      </c>
      <c r="I194" t="s">
        <v>1945</v>
      </c>
      <c r="J194" t="s">
        <v>2825</v>
      </c>
      <c r="K194" t="s">
        <v>1938</v>
      </c>
      <c r="L194" t="s">
        <v>6212</v>
      </c>
      <c r="M194" t="s">
        <v>6195</v>
      </c>
      <c r="N194">
        <v>1</v>
      </c>
      <c r="O194">
        <v>12.15</v>
      </c>
      <c r="P194">
        <v>1.2150000000000001</v>
      </c>
      <c r="Q194">
        <v>1.3365</v>
      </c>
      <c r="R194" s="5">
        <v>72.900000000000006</v>
      </c>
    </row>
    <row r="195" spans="1:18" x14ac:dyDescent="0.25">
      <c r="A195" t="s">
        <v>417</v>
      </c>
      <c r="B195" s="7">
        <v>44644</v>
      </c>
      <c r="C195" t="str">
        <f>TEXT(Table3[[#This Row],[Order Date]],"yyyy")</f>
        <v>2022</v>
      </c>
      <c r="D195" t="s">
        <v>6234</v>
      </c>
      <c r="E195" t="s">
        <v>418</v>
      </c>
      <c r="F195" t="s">
        <v>143</v>
      </c>
      <c r="G195">
        <v>3</v>
      </c>
      <c r="H195" t="s">
        <v>2827</v>
      </c>
      <c r="I195" t="s">
        <v>6210</v>
      </c>
      <c r="J195" t="s">
        <v>2830</v>
      </c>
      <c r="K195" t="s">
        <v>1947</v>
      </c>
      <c r="L195" t="s">
        <v>6212</v>
      </c>
      <c r="M195" t="s">
        <v>6215</v>
      </c>
      <c r="N195">
        <v>1</v>
      </c>
      <c r="O195">
        <v>14.85</v>
      </c>
      <c r="P195">
        <v>1.4849999999999999</v>
      </c>
      <c r="Q195">
        <v>1.6335</v>
      </c>
      <c r="R195" s="5">
        <v>44.55</v>
      </c>
    </row>
    <row r="196" spans="1:18" x14ac:dyDescent="0.25">
      <c r="A196" t="s">
        <v>419</v>
      </c>
      <c r="B196" s="7">
        <v>44398</v>
      </c>
      <c r="C196" t="str">
        <f>TEXT(Table3[[#This Row],[Order Date]],"yyyy")</f>
        <v>2021</v>
      </c>
      <c r="D196" t="s">
        <v>6230</v>
      </c>
      <c r="E196" t="s">
        <v>420</v>
      </c>
      <c r="F196" t="s">
        <v>22</v>
      </c>
      <c r="G196">
        <v>5</v>
      </c>
      <c r="H196" t="s">
        <v>2831</v>
      </c>
      <c r="I196" t="s">
        <v>6210</v>
      </c>
      <c r="J196" t="s">
        <v>2835</v>
      </c>
      <c r="K196" t="s">
        <v>1947</v>
      </c>
      <c r="L196" t="s">
        <v>6212</v>
      </c>
      <c r="M196" t="s">
        <v>6195</v>
      </c>
      <c r="N196">
        <v>0.5</v>
      </c>
      <c r="O196">
        <v>7.29</v>
      </c>
      <c r="P196">
        <v>1.458</v>
      </c>
      <c r="Q196">
        <v>0.80190000000000006</v>
      </c>
      <c r="R196" s="5">
        <v>36.450000000000003</v>
      </c>
    </row>
    <row r="197" spans="1:18" x14ac:dyDescent="0.25">
      <c r="A197" t="s">
        <v>421</v>
      </c>
      <c r="B197" s="7">
        <v>43683</v>
      </c>
      <c r="C197" t="str">
        <f>TEXT(Table3[[#This Row],[Order Date]],"yyyy")</f>
        <v>2019</v>
      </c>
      <c r="D197" t="s">
        <v>6231</v>
      </c>
      <c r="E197" t="s">
        <v>422</v>
      </c>
      <c r="F197" t="s">
        <v>12</v>
      </c>
      <c r="G197">
        <v>3</v>
      </c>
      <c r="H197" t="s">
        <v>2836</v>
      </c>
      <c r="I197" t="s">
        <v>6210</v>
      </c>
      <c r="J197" t="s">
        <v>2840</v>
      </c>
      <c r="K197" t="s">
        <v>1947</v>
      </c>
      <c r="L197" t="s">
        <v>6213</v>
      </c>
      <c r="M197" t="s">
        <v>6215</v>
      </c>
      <c r="N197">
        <v>1</v>
      </c>
      <c r="O197">
        <v>12.95</v>
      </c>
      <c r="P197">
        <v>1.2949999999999999</v>
      </c>
      <c r="Q197">
        <v>1.1655</v>
      </c>
      <c r="R197" s="5">
        <v>38.849999999999994</v>
      </c>
    </row>
    <row r="198" spans="1:18" x14ac:dyDescent="0.25">
      <c r="A198" t="s">
        <v>423</v>
      </c>
      <c r="B198" s="7">
        <v>44339</v>
      </c>
      <c r="C198" t="str">
        <f>TEXT(Table3[[#This Row],[Order Date]],"yyyy")</f>
        <v>2021</v>
      </c>
      <c r="D198" t="s">
        <v>6233</v>
      </c>
      <c r="E198" t="s">
        <v>424</v>
      </c>
      <c r="F198" t="s">
        <v>182</v>
      </c>
      <c r="G198">
        <v>6</v>
      </c>
      <c r="H198" t="s">
        <v>2841</v>
      </c>
      <c r="I198" t="s">
        <v>6210</v>
      </c>
      <c r="J198" t="s">
        <v>2182</v>
      </c>
      <c r="K198" t="s">
        <v>1947</v>
      </c>
      <c r="L198" t="s">
        <v>6212</v>
      </c>
      <c r="M198" t="s">
        <v>6215</v>
      </c>
      <c r="N198">
        <v>0.5</v>
      </c>
      <c r="O198">
        <v>8.91</v>
      </c>
      <c r="P198">
        <v>1.782</v>
      </c>
      <c r="Q198">
        <v>0.98009999999999997</v>
      </c>
      <c r="R198" s="5">
        <v>53.46</v>
      </c>
    </row>
    <row r="199" spans="1:18" x14ac:dyDescent="0.25">
      <c r="A199" t="s">
        <v>423</v>
      </c>
      <c r="B199" s="7">
        <v>44339</v>
      </c>
      <c r="C199" t="str">
        <f>TEXT(Table3[[#This Row],[Order Date]],"yyyy")</f>
        <v>2021</v>
      </c>
      <c r="D199" t="s">
        <v>6233</v>
      </c>
      <c r="E199" t="s">
        <v>424</v>
      </c>
      <c r="F199" t="s">
        <v>115</v>
      </c>
      <c r="G199">
        <v>2</v>
      </c>
      <c r="H199" t="s">
        <v>2841</v>
      </c>
      <c r="I199" t="s">
        <v>6210</v>
      </c>
      <c r="J199" t="s">
        <v>2182</v>
      </c>
      <c r="K199" t="s">
        <v>1947</v>
      </c>
      <c r="L199" t="s">
        <v>6199</v>
      </c>
      <c r="M199" t="s">
        <v>6195</v>
      </c>
      <c r="N199">
        <v>2.5</v>
      </c>
      <c r="O199">
        <v>29.784999999999997</v>
      </c>
      <c r="P199">
        <v>1.1913999999999998</v>
      </c>
      <c r="Q199">
        <v>3.8720499999999998</v>
      </c>
      <c r="R199" s="5">
        <v>59.569999999999993</v>
      </c>
    </row>
    <row r="200" spans="1:18" x14ac:dyDescent="0.25">
      <c r="A200" t="s">
        <v>423</v>
      </c>
      <c r="B200" s="7">
        <v>44339</v>
      </c>
      <c r="C200" t="str">
        <f>TEXT(Table3[[#This Row],[Order Date]],"yyyy")</f>
        <v>2021</v>
      </c>
      <c r="D200" t="s">
        <v>6233</v>
      </c>
      <c r="E200" t="s">
        <v>424</v>
      </c>
      <c r="F200" t="s">
        <v>115</v>
      </c>
      <c r="G200">
        <v>3</v>
      </c>
      <c r="H200" t="s">
        <v>2841</v>
      </c>
      <c r="I200" t="s">
        <v>6210</v>
      </c>
      <c r="J200" t="s">
        <v>2182</v>
      </c>
      <c r="K200" t="s">
        <v>1947</v>
      </c>
      <c r="L200" t="s">
        <v>6199</v>
      </c>
      <c r="M200" t="s">
        <v>6195</v>
      </c>
      <c r="N200">
        <v>2.5</v>
      </c>
      <c r="O200">
        <v>29.784999999999997</v>
      </c>
      <c r="P200">
        <v>1.1913999999999998</v>
      </c>
      <c r="Q200">
        <v>3.8720499999999998</v>
      </c>
      <c r="R200" s="5">
        <v>89.35499999999999</v>
      </c>
    </row>
    <row r="201" spans="1:18" x14ac:dyDescent="0.25">
      <c r="A201" t="s">
        <v>423</v>
      </c>
      <c r="B201" s="7">
        <v>44339</v>
      </c>
      <c r="C201" t="str">
        <f>TEXT(Table3[[#This Row],[Order Date]],"yyyy")</f>
        <v>2021</v>
      </c>
      <c r="D201" t="s">
        <v>6233</v>
      </c>
      <c r="E201" t="s">
        <v>424</v>
      </c>
      <c r="F201" t="s">
        <v>89</v>
      </c>
      <c r="G201">
        <v>4</v>
      </c>
      <c r="H201" t="s">
        <v>2841</v>
      </c>
      <c r="I201" t="s">
        <v>6210</v>
      </c>
      <c r="J201" t="s">
        <v>2182</v>
      </c>
      <c r="K201" t="s">
        <v>1947</v>
      </c>
      <c r="L201" t="s">
        <v>6199</v>
      </c>
      <c r="M201" t="s">
        <v>6215</v>
      </c>
      <c r="N201">
        <v>0.5</v>
      </c>
      <c r="O201">
        <v>9.51</v>
      </c>
      <c r="P201">
        <v>1.9019999999999999</v>
      </c>
      <c r="Q201">
        <v>1.2363</v>
      </c>
      <c r="R201" s="5">
        <v>38.04</v>
      </c>
    </row>
    <row r="202" spans="1:18" x14ac:dyDescent="0.25">
      <c r="A202" t="s">
        <v>423</v>
      </c>
      <c r="B202" s="7">
        <v>44339</v>
      </c>
      <c r="C202" t="str">
        <f>TEXT(Table3[[#This Row],[Order Date]],"yyyy")</f>
        <v>2021</v>
      </c>
      <c r="D202" t="s">
        <v>6233</v>
      </c>
      <c r="E202" t="s">
        <v>424</v>
      </c>
      <c r="F202" t="s">
        <v>15</v>
      </c>
      <c r="G202">
        <v>3</v>
      </c>
      <c r="H202" t="s">
        <v>2841</v>
      </c>
      <c r="I202" t="s">
        <v>6210</v>
      </c>
      <c r="J202" t="s">
        <v>2182</v>
      </c>
      <c r="K202" t="s">
        <v>1947</v>
      </c>
      <c r="L202" t="s">
        <v>6212</v>
      </c>
      <c r="M202" t="s">
        <v>6193</v>
      </c>
      <c r="N202">
        <v>1</v>
      </c>
      <c r="O202">
        <v>13.75</v>
      </c>
      <c r="P202">
        <v>1.375</v>
      </c>
      <c r="Q202">
        <v>1.5125</v>
      </c>
      <c r="R202" s="5">
        <v>41.25</v>
      </c>
    </row>
    <row r="203" spans="1:18" x14ac:dyDescent="0.25">
      <c r="A203" t="s">
        <v>425</v>
      </c>
      <c r="B203" s="7">
        <v>44294</v>
      </c>
      <c r="C203" t="str">
        <f>TEXT(Table3[[#This Row],[Order Date]],"yyyy")</f>
        <v>2021</v>
      </c>
      <c r="D203" t="s">
        <v>6236</v>
      </c>
      <c r="E203" t="s">
        <v>426</v>
      </c>
      <c r="F203" t="s">
        <v>89</v>
      </c>
      <c r="G203">
        <v>6</v>
      </c>
      <c r="H203" t="s">
        <v>2869</v>
      </c>
      <c r="I203" t="s">
        <v>6210</v>
      </c>
      <c r="J203" t="s">
        <v>2150</v>
      </c>
      <c r="K203" t="s">
        <v>1947</v>
      </c>
      <c r="L203" t="s">
        <v>6199</v>
      </c>
      <c r="M203" t="s">
        <v>6215</v>
      </c>
      <c r="N203">
        <v>0.5</v>
      </c>
      <c r="O203">
        <v>9.51</v>
      </c>
      <c r="P203">
        <v>1.9019999999999999</v>
      </c>
      <c r="Q203">
        <v>1.2363</v>
      </c>
      <c r="R203" s="5">
        <v>57.06</v>
      </c>
    </row>
    <row r="204" spans="1:18" x14ac:dyDescent="0.25">
      <c r="A204" t="s">
        <v>427</v>
      </c>
      <c r="B204" s="7">
        <v>44486</v>
      </c>
      <c r="C204" t="str">
        <f>TEXT(Table3[[#This Row],[Order Date]],"yyyy")</f>
        <v>2021</v>
      </c>
      <c r="D204" t="s">
        <v>6235</v>
      </c>
      <c r="E204" t="s">
        <v>428</v>
      </c>
      <c r="F204" t="s">
        <v>115</v>
      </c>
      <c r="G204">
        <v>6</v>
      </c>
      <c r="H204" t="s">
        <v>2872</v>
      </c>
      <c r="I204" t="s">
        <v>6210</v>
      </c>
      <c r="J204" t="s">
        <v>2876</v>
      </c>
      <c r="K204" t="s">
        <v>1938</v>
      </c>
      <c r="L204" t="s">
        <v>6199</v>
      </c>
      <c r="M204" t="s">
        <v>6195</v>
      </c>
      <c r="N204">
        <v>2.5</v>
      </c>
      <c r="O204">
        <v>29.784999999999997</v>
      </c>
      <c r="P204">
        <v>1.1913999999999998</v>
      </c>
      <c r="Q204">
        <v>3.8720499999999998</v>
      </c>
      <c r="R204" s="5">
        <v>178.70999999999998</v>
      </c>
    </row>
    <row r="205" spans="1:18" x14ac:dyDescent="0.25">
      <c r="A205" t="s">
        <v>429</v>
      </c>
      <c r="B205" s="7">
        <v>44608</v>
      </c>
      <c r="C205" t="str">
        <f>TEXT(Table3[[#This Row],[Order Date]],"yyyy")</f>
        <v>2022</v>
      </c>
      <c r="D205" t="s">
        <v>6238</v>
      </c>
      <c r="E205" t="s">
        <v>430</v>
      </c>
      <c r="F205" t="s">
        <v>25</v>
      </c>
      <c r="G205">
        <v>1</v>
      </c>
      <c r="H205" t="s">
        <v>2877</v>
      </c>
      <c r="I205" t="s">
        <v>6210</v>
      </c>
      <c r="J205" t="s">
        <v>2881</v>
      </c>
      <c r="K205" t="s">
        <v>1947</v>
      </c>
      <c r="L205" t="s">
        <v>6199</v>
      </c>
      <c r="M205" t="s">
        <v>6215</v>
      </c>
      <c r="N205">
        <v>0.2</v>
      </c>
      <c r="O205">
        <v>4.7549999999999999</v>
      </c>
      <c r="P205">
        <v>2.3774999999999999</v>
      </c>
      <c r="Q205">
        <v>0.61814999999999998</v>
      </c>
      <c r="R205" s="5">
        <v>4.7549999999999999</v>
      </c>
    </row>
    <row r="206" spans="1:18" x14ac:dyDescent="0.25">
      <c r="A206" t="s">
        <v>431</v>
      </c>
      <c r="B206" s="7">
        <v>44027</v>
      </c>
      <c r="C206" t="str">
        <f>TEXT(Table3[[#This Row],[Order Date]],"yyyy")</f>
        <v>2020</v>
      </c>
      <c r="D206" t="s">
        <v>6230</v>
      </c>
      <c r="E206" t="s">
        <v>432</v>
      </c>
      <c r="F206" t="s">
        <v>15</v>
      </c>
      <c r="G206">
        <v>6</v>
      </c>
      <c r="H206" t="s">
        <v>2882</v>
      </c>
      <c r="I206" t="s">
        <v>6210</v>
      </c>
      <c r="J206" t="s">
        <v>2885</v>
      </c>
      <c r="K206" t="s">
        <v>1947</v>
      </c>
      <c r="L206" t="s">
        <v>6212</v>
      </c>
      <c r="M206" t="s">
        <v>6193</v>
      </c>
      <c r="N206">
        <v>1</v>
      </c>
      <c r="O206">
        <v>13.75</v>
      </c>
      <c r="P206">
        <v>1.375</v>
      </c>
      <c r="Q206">
        <v>1.5125</v>
      </c>
      <c r="R206" s="5">
        <v>82.5</v>
      </c>
    </row>
    <row r="207" spans="1:18" x14ac:dyDescent="0.25">
      <c r="A207" t="s">
        <v>433</v>
      </c>
      <c r="B207" s="7">
        <v>43883</v>
      </c>
      <c r="C207" t="str">
        <f>TEXT(Table3[[#This Row],[Order Date]],"yyyy")</f>
        <v>2020</v>
      </c>
      <c r="D207" t="s">
        <v>6238</v>
      </c>
      <c r="E207" t="s">
        <v>434</v>
      </c>
      <c r="F207" t="s">
        <v>107</v>
      </c>
      <c r="G207">
        <v>3</v>
      </c>
      <c r="H207" t="s">
        <v>2886</v>
      </c>
      <c r="I207" t="s">
        <v>6210</v>
      </c>
      <c r="J207" t="s">
        <v>2182</v>
      </c>
      <c r="K207" t="s">
        <v>1938</v>
      </c>
      <c r="L207" t="s">
        <v>6211</v>
      </c>
      <c r="M207" t="s">
        <v>6195</v>
      </c>
      <c r="N207">
        <v>0.2</v>
      </c>
      <c r="O207">
        <v>2.6849999999999996</v>
      </c>
      <c r="P207">
        <v>1.3424999999999998</v>
      </c>
      <c r="Q207">
        <v>0.16109999999999997</v>
      </c>
      <c r="R207" s="5">
        <v>8.0549999999999997</v>
      </c>
    </row>
    <row r="208" spans="1:18" x14ac:dyDescent="0.25">
      <c r="A208" t="s">
        <v>435</v>
      </c>
      <c r="B208" s="7">
        <v>44211</v>
      </c>
      <c r="C208" t="str">
        <f>TEXT(Table3[[#This Row],[Order Date]],"yyyy")</f>
        <v>2021</v>
      </c>
      <c r="D208" t="s">
        <v>6232</v>
      </c>
      <c r="E208" t="s">
        <v>436</v>
      </c>
      <c r="F208" t="s">
        <v>67</v>
      </c>
      <c r="G208">
        <v>2</v>
      </c>
      <c r="H208" t="s">
        <v>2889</v>
      </c>
      <c r="I208" t="s">
        <v>6210</v>
      </c>
      <c r="J208" t="s">
        <v>2296</v>
      </c>
      <c r="K208" t="s">
        <v>1947</v>
      </c>
      <c r="L208" t="s">
        <v>6213</v>
      </c>
      <c r="M208" t="s">
        <v>6193</v>
      </c>
      <c r="N208">
        <v>1</v>
      </c>
      <c r="O208">
        <v>11.25</v>
      </c>
      <c r="P208">
        <v>1.125</v>
      </c>
      <c r="Q208">
        <v>1.0125</v>
      </c>
      <c r="R208" s="5">
        <v>22.5</v>
      </c>
    </row>
    <row r="209" spans="1:18" x14ac:dyDescent="0.25">
      <c r="A209" t="s">
        <v>437</v>
      </c>
      <c r="B209" s="7">
        <v>44207</v>
      </c>
      <c r="C209" t="str">
        <f>TEXT(Table3[[#This Row],[Order Date]],"yyyy")</f>
        <v>2021</v>
      </c>
      <c r="D209" t="s">
        <v>6232</v>
      </c>
      <c r="E209" t="s">
        <v>438</v>
      </c>
      <c r="F209" t="s">
        <v>73</v>
      </c>
      <c r="G209">
        <v>6</v>
      </c>
      <c r="H209" t="s">
        <v>2892</v>
      </c>
      <c r="I209" t="s">
        <v>6210</v>
      </c>
      <c r="J209" t="s">
        <v>2896</v>
      </c>
      <c r="K209" t="s">
        <v>1938</v>
      </c>
      <c r="L209" t="s">
        <v>6213</v>
      </c>
      <c r="M209" t="s">
        <v>6193</v>
      </c>
      <c r="N209">
        <v>0.5</v>
      </c>
      <c r="O209">
        <v>6.75</v>
      </c>
      <c r="P209">
        <v>1.35</v>
      </c>
      <c r="Q209">
        <v>0.60749999999999993</v>
      </c>
      <c r="R209" s="5">
        <v>40.5</v>
      </c>
    </row>
    <row r="210" spans="1:18" x14ac:dyDescent="0.25">
      <c r="A210" t="s">
        <v>439</v>
      </c>
      <c r="B210" s="7">
        <v>44659</v>
      </c>
      <c r="C210" t="str">
        <f>TEXT(Table3[[#This Row],[Order Date]],"yyyy")</f>
        <v>2022</v>
      </c>
      <c r="D210" t="s">
        <v>6236</v>
      </c>
      <c r="E210" t="s">
        <v>440</v>
      </c>
      <c r="F210" t="s">
        <v>22</v>
      </c>
      <c r="G210">
        <v>4</v>
      </c>
      <c r="H210" t="s">
        <v>2897</v>
      </c>
      <c r="I210" t="s">
        <v>1945</v>
      </c>
      <c r="J210" t="s">
        <v>2901</v>
      </c>
      <c r="K210" t="s">
        <v>1938</v>
      </c>
      <c r="L210" t="s">
        <v>6212</v>
      </c>
      <c r="M210" t="s">
        <v>6195</v>
      </c>
      <c r="N210">
        <v>0.5</v>
      </c>
      <c r="O210">
        <v>7.29</v>
      </c>
      <c r="P210">
        <v>1.458</v>
      </c>
      <c r="Q210">
        <v>0.80190000000000006</v>
      </c>
      <c r="R210" s="5">
        <v>29.16</v>
      </c>
    </row>
    <row r="211" spans="1:18" x14ac:dyDescent="0.25">
      <c r="A211" t="s">
        <v>441</v>
      </c>
      <c r="B211" s="7">
        <v>44105</v>
      </c>
      <c r="C211" t="str">
        <f>TEXT(Table3[[#This Row],[Order Date]],"yyyy")</f>
        <v>2020</v>
      </c>
      <c r="D211" t="s">
        <v>6235</v>
      </c>
      <c r="E211" t="s">
        <v>442</v>
      </c>
      <c r="F211" t="s">
        <v>73</v>
      </c>
      <c r="G211">
        <v>1</v>
      </c>
      <c r="H211" t="s">
        <v>2903</v>
      </c>
      <c r="I211" t="s">
        <v>2112</v>
      </c>
      <c r="J211" t="s">
        <v>2907</v>
      </c>
      <c r="K211" t="s">
        <v>1947</v>
      </c>
      <c r="L211" t="s">
        <v>6213</v>
      </c>
      <c r="M211" t="s">
        <v>6193</v>
      </c>
      <c r="N211">
        <v>0.5</v>
      </c>
      <c r="O211">
        <v>6.75</v>
      </c>
      <c r="P211">
        <v>1.35</v>
      </c>
      <c r="Q211">
        <v>0.60749999999999993</v>
      </c>
      <c r="R211" s="5">
        <v>6.75</v>
      </c>
    </row>
    <row r="212" spans="1:18" x14ac:dyDescent="0.25">
      <c r="A212" t="s">
        <v>443</v>
      </c>
      <c r="B212" s="7">
        <v>43766</v>
      </c>
      <c r="C212" t="str">
        <f>TEXT(Table3[[#This Row],[Order Date]],"yyyy")</f>
        <v>2019</v>
      </c>
      <c r="D212" t="s">
        <v>6235</v>
      </c>
      <c r="E212" t="s">
        <v>444</v>
      </c>
      <c r="F212" t="s">
        <v>19</v>
      </c>
      <c r="G212">
        <v>4</v>
      </c>
      <c r="H212" t="s">
        <v>2909</v>
      </c>
      <c r="I212" t="s">
        <v>6210</v>
      </c>
      <c r="J212" t="s">
        <v>2781</v>
      </c>
      <c r="K212" t="s">
        <v>1938</v>
      </c>
      <c r="L212" t="s">
        <v>6199</v>
      </c>
      <c r="M212" t="s">
        <v>6195</v>
      </c>
      <c r="N212">
        <v>1</v>
      </c>
      <c r="O212">
        <v>12.95</v>
      </c>
      <c r="P212">
        <v>1.2949999999999999</v>
      </c>
      <c r="Q212">
        <v>1.6835</v>
      </c>
      <c r="R212" s="5">
        <v>51.8</v>
      </c>
    </row>
    <row r="213" spans="1:18" x14ac:dyDescent="0.25">
      <c r="A213" t="s">
        <v>445</v>
      </c>
      <c r="B213" s="7">
        <v>44283</v>
      </c>
      <c r="C213" t="str">
        <f>TEXT(Table3[[#This Row],[Order Date]],"yyyy")</f>
        <v>2021</v>
      </c>
      <c r="D213" t="s">
        <v>6234</v>
      </c>
      <c r="E213" t="s">
        <v>446</v>
      </c>
      <c r="F213" t="s">
        <v>182</v>
      </c>
      <c r="G213">
        <v>6</v>
      </c>
      <c r="H213" t="s">
        <v>2913</v>
      </c>
      <c r="I213" t="s">
        <v>6210</v>
      </c>
      <c r="J213" t="s">
        <v>2033</v>
      </c>
      <c r="K213" t="s">
        <v>1947</v>
      </c>
      <c r="L213" t="s">
        <v>6212</v>
      </c>
      <c r="M213" t="s">
        <v>6215</v>
      </c>
      <c r="N213">
        <v>0.5</v>
      </c>
      <c r="O213">
        <v>8.91</v>
      </c>
      <c r="P213">
        <v>1.782</v>
      </c>
      <c r="Q213">
        <v>0.98009999999999997</v>
      </c>
      <c r="R213" s="5">
        <v>53.46</v>
      </c>
    </row>
    <row r="214" spans="1:18" x14ac:dyDescent="0.25">
      <c r="A214" t="s">
        <v>447</v>
      </c>
      <c r="B214" s="7">
        <v>43921</v>
      </c>
      <c r="C214" t="str">
        <f>TEXT(Table3[[#This Row],[Order Date]],"yyyy")</f>
        <v>2020</v>
      </c>
      <c r="D214" t="s">
        <v>6234</v>
      </c>
      <c r="E214" t="s">
        <v>448</v>
      </c>
      <c r="F214" t="s">
        <v>57</v>
      </c>
      <c r="G214">
        <v>4</v>
      </c>
      <c r="H214" t="s">
        <v>2916</v>
      </c>
      <c r="I214" t="s">
        <v>6210</v>
      </c>
      <c r="J214" t="s">
        <v>2639</v>
      </c>
      <c r="K214" t="s">
        <v>1938</v>
      </c>
      <c r="L214" t="s">
        <v>6212</v>
      </c>
      <c r="M214" t="s">
        <v>6195</v>
      </c>
      <c r="N214">
        <v>0.2</v>
      </c>
      <c r="O214">
        <v>3.645</v>
      </c>
      <c r="P214">
        <v>1.8225</v>
      </c>
      <c r="Q214">
        <v>0.40095000000000003</v>
      </c>
      <c r="R214" s="5">
        <v>14.58</v>
      </c>
    </row>
    <row r="215" spans="1:18" x14ac:dyDescent="0.25">
      <c r="A215" t="s">
        <v>449</v>
      </c>
      <c r="B215" s="7">
        <v>44646</v>
      </c>
      <c r="C215" t="str">
        <f>TEXT(Table3[[#This Row],[Order Date]],"yyyy")</f>
        <v>2022</v>
      </c>
      <c r="D215" t="s">
        <v>6234</v>
      </c>
      <c r="E215" t="s">
        <v>450</v>
      </c>
      <c r="F215" t="s">
        <v>41</v>
      </c>
      <c r="G215">
        <v>1</v>
      </c>
      <c r="H215" t="s">
        <v>2920</v>
      </c>
      <c r="I215" t="s">
        <v>6210</v>
      </c>
      <c r="J215" t="s">
        <v>2033</v>
      </c>
      <c r="K215" t="s">
        <v>1947</v>
      </c>
      <c r="L215" t="s">
        <v>6211</v>
      </c>
      <c r="M215" t="s">
        <v>6195</v>
      </c>
      <c r="N215">
        <v>2.5</v>
      </c>
      <c r="O215">
        <v>20.584999999999997</v>
      </c>
      <c r="P215">
        <v>0.82339999999999991</v>
      </c>
      <c r="Q215">
        <v>1.2350999999999999</v>
      </c>
      <c r="R215" s="5">
        <v>20.584999999999997</v>
      </c>
    </row>
    <row r="216" spans="1:18" x14ac:dyDescent="0.25">
      <c r="A216" t="s">
        <v>451</v>
      </c>
      <c r="B216" s="7">
        <v>43775</v>
      </c>
      <c r="C216" t="str">
        <f>TEXT(Table3[[#This Row],[Order Date]],"yyyy")</f>
        <v>2019</v>
      </c>
      <c r="D216" t="s">
        <v>6239</v>
      </c>
      <c r="E216" t="s">
        <v>452</v>
      </c>
      <c r="F216" t="s">
        <v>138</v>
      </c>
      <c r="G216">
        <v>2</v>
      </c>
      <c r="H216" t="s">
        <v>2924</v>
      </c>
      <c r="I216" t="s">
        <v>1945</v>
      </c>
      <c r="J216" t="s">
        <v>2928</v>
      </c>
      <c r="K216" t="s">
        <v>1947</v>
      </c>
      <c r="L216" t="s">
        <v>6199</v>
      </c>
      <c r="M216" t="s">
        <v>6215</v>
      </c>
      <c r="N216">
        <v>1</v>
      </c>
      <c r="O216">
        <v>15.85</v>
      </c>
      <c r="P216">
        <v>1.585</v>
      </c>
      <c r="Q216">
        <v>2.0605000000000002</v>
      </c>
      <c r="R216" s="5">
        <v>31.7</v>
      </c>
    </row>
    <row r="217" spans="1:18" x14ac:dyDescent="0.25">
      <c r="A217" t="s">
        <v>453</v>
      </c>
      <c r="B217" s="7">
        <v>43829</v>
      </c>
      <c r="C217" t="str">
        <f>TEXT(Table3[[#This Row],[Order Date]],"yyyy")</f>
        <v>2019</v>
      </c>
      <c r="D217" t="s">
        <v>6237</v>
      </c>
      <c r="E217" t="s">
        <v>454</v>
      </c>
      <c r="F217" t="s">
        <v>44</v>
      </c>
      <c r="G217">
        <v>6</v>
      </c>
      <c r="H217" t="s">
        <v>2929</v>
      </c>
      <c r="I217" t="s">
        <v>6210</v>
      </c>
      <c r="J217" t="s">
        <v>2933</v>
      </c>
      <c r="K217" t="s">
        <v>1947</v>
      </c>
      <c r="L217" t="s">
        <v>6199</v>
      </c>
      <c r="M217" t="s">
        <v>6195</v>
      </c>
      <c r="N217">
        <v>0.2</v>
      </c>
      <c r="O217">
        <v>3.8849999999999998</v>
      </c>
      <c r="P217">
        <v>1.9424999999999999</v>
      </c>
      <c r="Q217">
        <v>0.50505</v>
      </c>
      <c r="R217" s="5">
        <v>23.31</v>
      </c>
    </row>
    <row r="218" spans="1:18" x14ac:dyDescent="0.25">
      <c r="A218" t="s">
        <v>455</v>
      </c>
      <c r="B218" s="7">
        <v>44470</v>
      </c>
      <c r="C218" t="str">
        <f>TEXT(Table3[[#This Row],[Order Date]],"yyyy")</f>
        <v>2021</v>
      </c>
      <c r="D218" t="s">
        <v>6235</v>
      </c>
      <c r="E218" t="s">
        <v>456</v>
      </c>
      <c r="F218" t="s">
        <v>102</v>
      </c>
      <c r="G218">
        <v>4</v>
      </c>
      <c r="H218" t="s">
        <v>2934</v>
      </c>
      <c r="I218" t="s">
        <v>6210</v>
      </c>
      <c r="J218" t="s">
        <v>2207</v>
      </c>
      <c r="K218" t="s">
        <v>1938</v>
      </c>
      <c r="L218" t="s">
        <v>6199</v>
      </c>
      <c r="M218" t="s">
        <v>6193</v>
      </c>
      <c r="N218">
        <v>1</v>
      </c>
      <c r="O218">
        <v>14.55</v>
      </c>
      <c r="P218">
        <v>1.4550000000000001</v>
      </c>
      <c r="Q218">
        <v>1.8915000000000002</v>
      </c>
      <c r="R218" s="5">
        <v>58.2</v>
      </c>
    </row>
    <row r="219" spans="1:18" x14ac:dyDescent="0.25">
      <c r="A219" t="s">
        <v>457</v>
      </c>
      <c r="B219" s="7">
        <v>44174</v>
      </c>
      <c r="C219" t="str">
        <f>TEXT(Table3[[#This Row],[Order Date]],"yyyy")</f>
        <v>2020</v>
      </c>
      <c r="D219" t="s">
        <v>6237</v>
      </c>
      <c r="E219" t="s">
        <v>458</v>
      </c>
      <c r="F219" t="s">
        <v>182</v>
      </c>
      <c r="G219">
        <v>4</v>
      </c>
      <c r="H219" t="s">
        <v>2938</v>
      </c>
      <c r="I219" t="s">
        <v>6210</v>
      </c>
      <c r="J219" t="s">
        <v>2942</v>
      </c>
      <c r="K219" t="s">
        <v>1947</v>
      </c>
      <c r="L219" t="s">
        <v>6212</v>
      </c>
      <c r="M219" t="s">
        <v>6215</v>
      </c>
      <c r="N219">
        <v>0.5</v>
      </c>
      <c r="O219">
        <v>8.91</v>
      </c>
      <c r="P219">
        <v>1.782</v>
      </c>
      <c r="Q219">
        <v>0.98009999999999997</v>
      </c>
      <c r="R219" s="5">
        <v>35.64</v>
      </c>
    </row>
    <row r="220" spans="1:18" x14ac:dyDescent="0.25">
      <c r="A220" t="s">
        <v>459</v>
      </c>
      <c r="B220" s="7">
        <v>44317</v>
      </c>
      <c r="C220" t="str">
        <f>TEXT(Table3[[#This Row],[Order Date]],"yyyy")</f>
        <v>2021</v>
      </c>
      <c r="D220" t="s">
        <v>6233</v>
      </c>
      <c r="E220" t="s">
        <v>460</v>
      </c>
      <c r="F220" t="s">
        <v>67</v>
      </c>
      <c r="G220">
        <v>5</v>
      </c>
      <c r="H220" t="s">
        <v>2943</v>
      </c>
      <c r="I220" t="s">
        <v>1945</v>
      </c>
      <c r="J220" t="s">
        <v>2947</v>
      </c>
      <c r="K220" t="s">
        <v>1938</v>
      </c>
      <c r="L220" t="s">
        <v>6213</v>
      </c>
      <c r="M220" t="s">
        <v>6193</v>
      </c>
      <c r="N220">
        <v>1</v>
      </c>
      <c r="O220">
        <v>11.25</v>
      </c>
      <c r="P220">
        <v>1.125</v>
      </c>
      <c r="Q220">
        <v>1.0125</v>
      </c>
      <c r="R220" s="5">
        <v>56.25</v>
      </c>
    </row>
    <row r="221" spans="1:18" x14ac:dyDescent="0.25">
      <c r="A221" t="s">
        <v>461</v>
      </c>
      <c r="B221" s="7">
        <v>44777</v>
      </c>
      <c r="C221" t="str">
        <f>TEXT(Table3[[#This Row],[Order Date]],"yyyy")</f>
        <v>2022</v>
      </c>
      <c r="D221" t="s">
        <v>6231</v>
      </c>
      <c r="E221" t="s">
        <v>462</v>
      </c>
      <c r="F221" t="s">
        <v>188</v>
      </c>
      <c r="G221">
        <v>3</v>
      </c>
      <c r="H221" t="s">
        <v>2948</v>
      </c>
      <c r="I221" t="s">
        <v>6210</v>
      </c>
      <c r="J221" t="s">
        <v>2952</v>
      </c>
      <c r="K221" t="s">
        <v>1947</v>
      </c>
      <c r="L221" t="s">
        <v>6211</v>
      </c>
      <c r="M221" t="s">
        <v>6215</v>
      </c>
      <c r="N221">
        <v>0.2</v>
      </c>
      <c r="O221">
        <v>3.5849999999999995</v>
      </c>
      <c r="P221">
        <v>1.7924999999999998</v>
      </c>
      <c r="Q221">
        <v>0.21509999999999996</v>
      </c>
      <c r="R221" s="5">
        <v>10.754999999999999</v>
      </c>
    </row>
    <row r="222" spans="1:18" x14ac:dyDescent="0.25">
      <c r="A222" t="s">
        <v>461</v>
      </c>
      <c r="B222" s="7">
        <v>44777</v>
      </c>
      <c r="C222" t="str">
        <f>TEXT(Table3[[#This Row],[Order Date]],"yyyy")</f>
        <v>2022</v>
      </c>
      <c r="D222" t="s">
        <v>6231</v>
      </c>
      <c r="E222" t="s">
        <v>462</v>
      </c>
      <c r="F222" t="s">
        <v>168</v>
      </c>
      <c r="G222">
        <v>5</v>
      </c>
      <c r="H222" t="s">
        <v>2948</v>
      </c>
      <c r="I222" t="s">
        <v>6210</v>
      </c>
      <c r="J222" t="s">
        <v>2952</v>
      </c>
      <c r="K222" t="s">
        <v>1947</v>
      </c>
      <c r="L222" t="s">
        <v>6211</v>
      </c>
      <c r="M222" t="s">
        <v>6193</v>
      </c>
      <c r="N222">
        <v>0.2</v>
      </c>
      <c r="O222">
        <v>2.9849999999999999</v>
      </c>
      <c r="P222">
        <v>1.4924999999999999</v>
      </c>
      <c r="Q222">
        <v>0.17909999999999998</v>
      </c>
      <c r="R222" s="5">
        <v>14.924999999999999</v>
      </c>
    </row>
    <row r="223" spans="1:18" x14ac:dyDescent="0.25">
      <c r="A223" t="s">
        <v>463</v>
      </c>
      <c r="B223" s="7">
        <v>44513</v>
      </c>
      <c r="C223" t="str">
        <f>TEXT(Table3[[#This Row],[Order Date]],"yyyy")</f>
        <v>2021</v>
      </c>
      <c r="D223" t="s">
        <v>6239</v>
      </c>
      <c r="E223" t="s">
        <v>464</v>
      </c>
      <c r="F223" t="s">
        <v>12</v>
      </c>
      <c r="G223">
        <v>6</v>
      </c>
      <c r="H223" t="s">
        <v>2958</v>
      </c>
      <c r="I223" t="s">
        <v>6210</v>
      </c>
      <c r="J223" t="s">
        <v>2962</v>
      </c>
      <c r="K223" t="s">
        <v>1938</v>
      </c>
      <c r="L223" t="s">
        <v>6213</v>
      </c>
      <c r="M223" t="s">
        <v>6215</v>
      </c>
      <c r="N223">
        <v>1</v>
      </c>
      <c r="O223">
        <v>12.95</v>
      </c>
      <c r="P223">
        <v>1.2949999999999999</v>
      </c>
      <c r="Q223">
        <v>1.1655</v>
      </c>
      <c r="R223" s="5">
        <v>77.699999999999989</v>
      </c>
    </row>
    <row r="224" spans="1:18" x14ac:dyDescent="0.25">
      <c r="A224" t="s">
        <v>465</v>
      </c>
      <c r="B224" s="7">
        <v>44090</v>
      </c>
      <c r="C224" t="str">
        <f>TEXT(Table3[[#This Row],[Order Date]],"yyyy")</f>
        <v>2020</v>
      </c>
      <c r="D224" t="s">
        <v>6228</v>
      </c>
      <c r="E224" t="s">
        <v>466</v>
      </c>
      <c r="F224" t="s">
        <v>129</v>
      </c>
      <c r="G224">
        <v>3</v>
      </c>
      <c r="H224" t="s">
        <v>2963</v>
      </c>
      <c r="I224" t="s">
        <v>6210</v>
      </c>
      <c r="J224" t="s">
        <v>2967</v>
      </c>
      <c r="K224" t="s">
        <v>1947</v>
      </c>
      <c r="L224" t="s">
        <v>6199</v>
      </c>
      <c r="M224" t="s">
        <v>6195</v>
      </c>
      <c r="N224">
        <v>0.5</v>
      </c>
      <c r="O224">
        <v>7.77</v>
      </c>
      <c r="P224">
        <v>1.5539999999999998</v>
      </c>
      <c r="Q224">
        <v>1.0101</v>
      </c>
      <c r="R224" s="5">
        <v>23.31</v>
      </c>
    </row>
    <row r="225" spans="1:18" x14ac:dyDescent="0.25">
      <c r="A225" t="s">
        <v>467</v>
      </c>
      <c r="B225" s="7">
        <v>44109</v>
      </c>
      <c r="C225" t="str">
        <f>TEXT(Table3[[#This Row],[Order Date]],"yyyy")</f>
        <v>2020</v>
      </c>
      <c r="D225" t="s">
        <v>6235</v>
      </c>
      <c r="E225" t="s">
        <v>468</v>
      </c>
      <c r="F225" t="s">
        <v>143</v>
      </c>
      <c r="G225">
        <v>4</v>
      </c>
      <c r="H225" t="s">
        <v>2968</v>
      </c>
      <c r="I225" t="s">
        <v>6210</v>
      </c>
      <c r="J225" t="s">
        <v>2182</v>
      </c>
      <c r="K225" t="s">
        <v>1938</v>
      </c>
      <c r="L225" t="s">
        <v>6212</v>
      </c>
      <c r="M225" t="s">
        <v>6215</v>
      </c>
      <c r="N225">
        <v>1</v>
      </c>
      <c r="O225">
        <v>14.85</v>
      </c>
      <c r="P225">
        <v>1.4849999999999999</v>
      </c>
      <c r="Q225">
        <v>1.6335</v>
      </c>
      <c r="R225" s="5">
        <v>59.4</v>
      </c>
    </row>
    <row r="226" spans="1:18" x14ac:dyDescent="0.25">
      <c r="A226" t="s">
        <v>469</v>
      </c>
      <c r="B226" s="7">
        <v>43836</v>
      </c>
      <c r="C226" t="str">
        <f>TEXT(Table3[[#This Row],[Order Date]],"yyyy")</f>
        <v>2020</v>
      </c>
      <c r="D226" t="s">
        <v>6232</v>
      </c>
      <c r="E226" t="s">
        <v>470</v>
      </c>
      <c r="F226" t="s">
        <v>115</v>
      </c>
      <c r="G226">
        <v>4</v>
      </c>
      <c r="H226" t="s">
        <v>2971</v>
      </c>
      <c r="I226" t="s">
        <v>6210</v>
      </c>
      <c r="J226" t="s">
        <v>2033</v>
      </c>
      <c r="K226" t="s">
        <v>1938</v>
      </c>
      <c r="L226" t="s">
        <v>6199</v>
      </c>
      <c r="M226" t="s">
        <v>6195</v>
      </c>
      <c r="N226">
        <v>2.5</v>
      </c>
      <c r="O226">
        <v>29.784999999999997</v>
      </c>
      <c r="P226">
        <v>1.1913999999999998</v>
      </c>
      <c r="Q226">
        <v>3.8720499999999998</v>
      </c>
      <c r="R226" s="5">
        <v>119.13999999999999</v>
      </c>
    </row>
    <row r="227" spans="1:18" x14ac:dyDescent="0.25">
      <c r="A227" t="s">
        <v>471</v>
      </c>
      <c r="B227" s="7">
        <v>44337</v>
      </c>
      <c r="C227" t="str">
        <f>TEXT(Table3[[#This Row],[Order Date]],"yyyy")</f>
        <v>2021</v>
      </c>
      <c r="D227" t="s">
        <v>6233</v>
      </c>
      <c r="E227" t="s">
        <v>472</v>
      </c>
      <c r="F227" t="s">
        <v>188</v>
      </c>
      <c r="G227">
        <v>4</v>
      </c>
      <c r="H227" t="s">
        <v>2975</v>
      </c>
      <c r="I227" t="s">
        <v>1945</v>
      </c>
      <c r="J227" t="s">
        <v>2288</v>
      </c>
      <c r="K227" t="s">
        <v>1947</v>
      </c>
      <c r="L227" t="s">
        <v>6211</v>
      </c>
      <c r="M227" t="s">
        <v>6215</v>
      </c>
      <c r="N227">
        <v>0.2</v>
      </c>
      <c r="O227">
        <v>3.5849999999999995</v>
      </c>
      <c r="P227">
        <v>1.7924999999999998</v>
      </c>
      <c r="Q227">
        <v>0.21509999999999996</v>
      </c>
      <c r="R227" s="5">
        <v>14.339999999999998</v>
      </c>
    </row>
    <row r="228" spans="1:18" x14ac:dyDescent="0.25">
      <c r="A228" t="s">
        <v>473</v>
      </c>
      <c r="B228" s="7">
        <v>43887</v>
      </c>
      <c r="C228" t="str">
        <f>TEXT(Table3[[#This Row],[Order Date]],"yyyy")</f>
        <v>2020</v>
      </c>
      <c r="D228" t="s">
        <v>6238</v>
      </c>
      <c r="E228" t="s">
        <v>474</v>
      </c>
      <c r="F228" t="s">
        <v>177</v>
      </c>
      <c r="G228">
        <v>5</v>
      </c>
      <c r="H228" t="s">
        <v>2979</v>
      </c>
      <c r="I228" t="s">
        <v>6210</v>
      </c>
      <c r="J228" t="s">
        <v>2983</v>
      </c>
      <c r="K228" t="s">
        <v>1947</v>
      </c>
      <c r="L228" t="s">
        <v>6213</v>
      </c>
      <c r="M228" t="s">
        <v>6193</v>
      </c>
      <c r="N228">
        <v>2.5</v>
      </c>
      <c r="O228">
        <v>25.874999999999996</v>
      </c>
      <c r="P228">
        <v>1.0349999999999999</v>
      </c>
      <c r="Q228">
        <v>2.3287499999999994</v>
      </c>
      <c r="R228" s="5">
        <v>129.37499999999997</v>
      </c>
    </row>
    <row r="229" spans="1:18" x14ac:dyDescent="0.25">
      <c r="A229" t="s">
        <v>475</v>
      </c>
      <c r="B229" s="7">
        <v>43880</v>
      </c>
      <c r="C229" t="str">
        <f>TEXT(Table3[[#This Row],[Order Date]],"yyyy")</f>
        <v>2020</v>
      </c>
      <c r="D229" t="s">
        <v>6238</v>
      </c>
      <c r="E229" t="s">
        <v>476</v>
      </c>
      <c r="F229" t="s">
        <v>107</v>
      </c>
      <c r="G229">
        <v>6</v>
      </c>
      <c r="H229" t="s">
        <v>2984</v>
      </c>
      <c r="I229" t="s">
        <v>2112</v>
      </c>
      <c r="J229" t="s">
        <v>2988</v>
      </c>
      <c r="K229" t="s">
        <v>1938</v>
      </c>
      <c r="L229" t="s">
        <v>6211</v>
      </c>
      <c r="M229" t="s">
        <v>6195</v>
      </c>
      <c r="N229">
        <v>0.2</v>
      </c>
      <c r="O229">
        <v>2.6849999999999996</v>
      </c>
      <c r="P229">
        <v>1.3424999999999998</v>
      </c>
      <c r="Q229">
        <v>0.16109999999999997</v>
      </c>
      <c r="R229" s="5">
        <v>16.11</v>
      </c>
    </row>
    <row r="230" spans="1:18" x14ac:dyDescent="0.25">
      <c r="A230" t="s">
        <v>477</v>
      </c>
      <c r="B230" s="7">
        <v>44376</v>
      </c>
      <c r="C230" t="str">
        <f>TEXT(Table3[[#This Row],[Order Date]],"yyyy")</f>
        <v>2021</v>
      </c>
      <c r="D230" t="s">
        <v>6229</v>
      </c>
      <c r="E230" t="s">
        <v>478</v>
      </c>
      <c r="F230" t="s">
        <v>188</v>
      </c>
      <c r="G230">
        <v>5</v>
      </c>
      <c r="H230" t="s">
        <v>2990</v>
      </c>
      <c r="I230" t="s">
        <v>6210</v>
      </c>
      <c r="J230" t="s">
        <v>2994</v>
      </c>
      <c r="K230" t="s">
        <v>1947</v>
      </c>
      <c r="L230" t="s">
        <v>6211</v>
      </c>
      <c r="M230" t="s">
        <v>6215</v>
      </c>
      <c r="N230">
        <v>0.2</v>
      </c>
      <c r="O230">
        <v>3.5849999999999995</v>
      </c>
      <c r="P230">
        <v>1.7924999999999998</v>
      </c>
      <c r="Q230">
        <v>0.21509999999999996</v>
      </c>
      <c r="R230" s="5">
        <v>17.924999999999997</v>
      </c>
    </row>
    <row r="231" spans="1:18" x14ac:dyDescent="0.25">
      <c r="A231" t="s">
        <v>479</v>
      </c>
      <c r="B231" s="7">
        <v>44282</v>
      </c>
      <c r="C231" t="str">
        <f>TEXT(Table3[[#This Row],[Order Date]],"yyyy")</f>
        <v>2021</v>
      </c>
      <c r="D231" t="s">
        <v>6234</v>
      </c>
      <c r="E231" t="s">
        <v>480</v>
      </c>
      <c r="F231" t="s">
        <v>83</v>
      </c>
      <c r="G231">
        <v>2</v>
      </c>
      <c r="H231" t="s">
        <v>2995</v>
      </c>
      <c r="I231" t="s">
        <v>6210</v>
      </c>
      <c r="J231" t="s">
        <v>2999</v>
      </c>
      <c r="K231" t="s">
        <v>1947</v>
      </c>
      <c r="L231" t="s">
        <v>6199</v>
      </c>
      <c r="M231" t="s">
        <v>6193</v>
      </c>
      <c r="N231">
        <v>0.2</v>
      </c>
      <c r="O231">
        <v>4.3650000000000002</v>
      </c>
      <c r="P231">
        <v>2.1825000000000001</v>
      </c>
      <c r="Q231">
        <v>0.56745000000000001</v>
      </c>
      <c r="R231" s="5">
        <v>8.73</v>
      </c>
    </row>
    <row r="232" spans="1:18" x14ac:dyDescent="0.25">
      <c r="A232" t="s">
        <v>481</v>
      </c>
      <c r="B232" s="7">
        <v>44496</v>
      </c>
      <c r="C232" t="str">
        <f>TEXT(Table3[[#This Row],[Order Date]],"yyyy")</f>
        <v>2021</v>
      </c>
      <c r="D232" t="s">
        <v>6235</v>
      </c>
      <c r="E232" t="s">
        <v>482</v>
      </c>
      <c r="F232" t="s">
        <v>177</v>
      </c>
      <c r="G232">
        <v>2</v>
      </c>
      <c r="H232" t="s">
        <v>3000</v>
      </c>
      <c r="I232" t="s">
        <v>6210</v>
      </c>
      <c r="J232" t="s">
        <v>2690</v>
      </c>
      <c r="K232" t="s">
        <v>1947</v>
      </c>
      <c r="L232" t="s">
        <v>6213</v>
      </c>
      <c r="M232" t="s">
        <v>6193</v>
      </c>
      <c r="N232">
        <v>2.5</v>
      </c>
      <c r="O232">
        <v>25.874999999999996</v>
      </c>
      <c r="P232">
        <v>1.0349999999999999</v>
      </c>
      <c r="Q232">
        <v>2.3287499999999994</v>
      </c>
      <c r="R232" s="5">
        <v>51.749999999999993</v>
      </c>
    </row>
    <row r="233" spans="1:18" x14ac:dyDescent="0.25">
      <c r="A233" t="s">
        <v>483</v>
      </c>
      <c r="B233" s="7">
        <v>43628</v>
      </c>
      <c r="C233" t="str">
        <f>TEXT(Table3[[#This Row],[Order Date]],"yyyy")</f>
        <v>2019</v>
      </c>
      <c r="D233" t="s">
        <v>6229</v>
      </c>
      <c r="E233" t="s">
        <v>484</v>
      </c>
      <c r="F233" t="s">
        <v>83</v>
      </c>
      <c r="G233">
        <v>2</v>
      </c>
      <c r="H233" t="s">
        <v>3004</v>
      </c>
      <c r="I233" t="s">
        <v>6210</v>
      </c>
      <c r="J233" t="s">
        <v>2252</v>
      </c>
      <c r="K233" t="s">
        <v>1938</v>
      </c>
      <c r="L233" t="s">
        <v>6199</v>
      </c>
      <c r="M233" t="s">
        <v>6193</v>
      </c>
      <c r="N233">
        <v>0.2</v>
      </c>
      <c r="O233">
        <v>4.3650000000000002</v>
      </c>
      <c r="P233">
        <v>2.1825000000000001</v>
      </c>
      <c r="Q233">
        <v>0.56745000000000001</v>
      </c>
      <c r="R233" s="5">
        <v>8.73</v>
      </c>
    </row>
    <row r="234" spans="1:18" x14ac:dyDescent="0.25">
      <c r="A234" t="s">
        <v>485</v>
      </c>
      <c r="B234" s="7">
        <v>44010</v>
      </c>
      <c r="C234" t="str">
        <f>TEXT(Table3[[#This Row],[Order Date]],"yyyy")</f>
        <v>2020</v>
      </c>
      <c r="D234" t="s">
        <v>6229</v>
      </c>
      <c r="E234" t="s">
        <v>486</v>
      </c>
      <c r="F234" t="s">
        <v>25</v>
      </c>
      <c r="G234">
        <v>5</v>
      </c>
      <c r="H234" t="s">
        <v>3007</v>
      </c>
      <c r="I234" t="s">
        <v>2112</v>
      </c>
      <c r="J234" t="s">
        <v>2195</v>
      </c>
      <c r="K234" t="s">
        <v>1947</v>
      </c>
      <c r="L234" t="s">
        <v>6199</v>
      </c>
      <c r="M234" t="s">
        <v>6215</v>
      </c>
      <c r="N234">
        <v>0.2</v>
      </c>
      <c r="O234">
        <v>4.7549999999999999</v>
      </c>
      <c r="P234">
        <v>2.3774999999999999</v>
      </c>
      <c r="Q234">
        <v>0.61814999999999998</v>
      </c>
      <c r="R234" s="5">
        <v>23.774999999999999</v>
      </c>
    </row>
    <row r="235" spans="1:18" x14ac:dyDescent="0.25">
      <c r="A235" t="s">
        <v>487</v>
      </c>
      <c r="B235" s="7">
        <v>44278</v>
      </c>
      <c r="C235" t="str">
        <f>TEXT(Table3[[#This Row],[Order Date]],"yyyy")</f>
        <v>2021</v>
      </c>
      <c r="D235" t="s">
        <v>6234</v>
      </c>
      <c r="E235" t="s">
        <v>488</v>
      </c>
      <c r="F235" t="s">
        <v>70</v>
      </c>
      <c r="G235">
        <v>5</v>
      </c>
      <c r="H235" t="s">
        <v>3011</v>
      </c>
      <c r="I235" t="s">
        <v>6210</v>
      </c>
      <c r="J235" t="s">
        <v>2588</v>
      </c>
      <c r="K235" t="s">
        <v>1947</v>
      </c>
      <c r="L235" t="s">
        <v>6212</v>
      </c>
      <c r="M235" t="s">
        <v>6193</v>
      </c>
      <c r="N235">
        <v>0.2</v>
      </c>
      <c r="O235">
        <v>4.125</v>
      </c>
      <c r="P235">
        <v>2.0625</v>
      </c>
      <c r="Q235">
        <v>0.45374999999999999</v>
      </c>
      <c r="R235" s="5">
        <v>20.625</v>
      </c>
    </row>
    <row r="236" spans="1:18" x14ac:dyDescent="0.25">
      <c r="A236" t="s">
        <v>489</v>
      </c>
      <c r="B236" s="7">
        <v>44602</v>
      </c>
      <c r="C236" t="str">
        <f>TEXT(Table3[[#This Row],[Order Date]],"yyyy")</f>
        <v>2022</v>
      </c>
      <c r="D236" t="s">
        <v>6238</v>
      </c>
      <c r="E236" t="s">
        <v>490</v>
      </c>
      <c r="F236" t="s">
        <v>110</v>
      </c>
      <c r="G236">
        <v>1</v>
      </c>
      <c r="H236" t="s">
        <v>3015</v>
      </c>
      <c r="I236" t="s">
        <v>6210</v>
      </c>
      <c r="J236" t="s">
        <v>2033</v>
      </c>
      <c r="K236" t="s">
        <v>1947</v>
      </c>
      <c r="L236" t="s">
        <v>6199</v>
      </c>
      <c r="M236" t="s">
        <v>6215</v>
      </c>
      <c r="N236">
        <v>2.5</v>
      </c>
      <c r="O236">
        <v>36.454999999999998</v>
      </c>
      <c r="P236">
        <v>1.4581999999999999</v>
      </c>
      <c r="Q236">
        <v>4.7391499999999995</v>
      </c>
      <c r="R236" s="5">
        <v>36.454999999999998</v>
      </c>
    </row>
    <row r="237" spans="1:18" x14ac:dyDescent="0.25">
      <c r="A237" t="s">
        <v>491</v>
      </c>
      <c r="B237" s="7">
        <v>43571</v>
      </c>
      <c r="C237" t="str">
        <f>TEXT(Table3[[#This Row],[Order Date]],"yyyy")</f>
        <v>2019</v>
      </c>
      <c r="D237" t="s">
        <v>6236</v>
      </c>
      <c r="E237" t="s">
        <v>492</v>
      </c>
      <c r="F237" t="s">
        <v>110</v>
      </c>
      <c r="G237">
        <v>5</v>
      </c>
      <c r="H237" t="s">
        <v>3019</v>
      </c>
      <c r="I237" t="s">
        <v>1945</v>
      </c>
      <c r="J237" t="s">
        <v>3021</v>
      </c>
      <c r="K237" t="s">
        <v>1947</v>
      </c>
      <c r="L237" t="s">
        <v>6199</v>
      </c>
      <c r="M237" t="s">
        <v>6215</v>
      </c>
      <c r="N237">
        <v>2.5</v>
      </c>
      <c r="O237">
        <v>36.454999999999998</v>
      </c>
      <c r="P237">
        <v>1.4581999999999999</v>
      </c>
      <c r="Q237">
        <v>4.7391499999999995</v>
      </c>
      <c r="R237" s="5">
        <v>182.27499999999998</v>
      </c>
    </row>
    <row r="238" spans="1:18" x14ac:dyDescent="0.25">
      <c r="A238" t="s">
        <v>493</v>
      </c>
      <c r="B238" s="7">
        <v>43873</v>
      </c>
      <c r="C238" t="str">
        <f>TEXT(Table3[[#This Row],[Order Date]],"yyyy")</f>
        <v>2020</v>
      </c>
      <c r="D238" t="s">
        <v>6238</v>
      </c>
      <c r="E238" t="s">
        <v>494</v>
      </c>
      <c r="F238" t="s">
        <v>115</v>
      </c>
      <c r="G238">
        <v>3</v>
      </c>
      <c r="H238" t="s">
        <v>3023</v>
      </c>
      <c r="I238" t="s">
        <v>1945</v>
      </c>
      <c r="J238" t="s">
        <v>3027</v>
      </c>
      <c r="K238" t="s">
        <v>1947</v>
      </c>
      <c r="L238" t="s">
        <v>6199</v>
      </c>
      <c r="M238" t="s">
        <v>6195</v>
      </c>
      <c r="N238">
        <v>2.5</v>
      </c>
      <c r="O238">
        <v>29.784999999999997</v>
      </c>
      <c r="P238">
        <v>1.1913999999999998</v>
      </c>
      <c r="Q238">
        <v>3.8720499999999998</v>
      </c>
      <c r="R238" s="5">
        <v>89.35499999999999</v>
      </c>
    </row>
    <row r="239" spans="1:18" x14ac:dyDescent="0.25">
      <c r="A239" t="s">
        <v>495</v>
      </c>
      <c r="B239" s="7">
        <v>44563</v>
      </c>
      <c r="C239" t="str">
        <f>TEXT(Table3[[#This Row],[Order Date]],"yyyy")</f>
        <v>2022</v>
      </c>
      <c r="D239" t="s">
        <v>6232</v>
      </c>
      <c r="E239" t="s">
        <v>496</v>
      </c>
      <c r="F239" t="s">
        <v>188</v>
      </c>
      <c r="G239">
        <v>1</v>
      </c>
      <c r="H239" t="s">
        <v>3029</v>
      </c>
      <c r="I239" t="s">
        <v>6210</v>
      </c>
      <c r="J239" t="s">
        <v>3032</v>
      </c>
      <c r="K239" t="s">
        <v>1938</v>
      </c>
      <c r="L239" t="s">
        <v>6211</v>
      </c>
      <c r="M239" t="s">
        <v>6215</v>
      </c>
      <c r="N239">
        <v>0.2</v>
      </c>
      <c r="O239">
        <v>3.5849999999999995</v>
      </c>
      <c r="P239">
        <v>1.7924999999999998</v>
      </c>
      <c r="Q239">
        <v>0.21509999999999996</v>
      </c>
      <c r="R239" s="5">
        <v>3.5849999999999995</v>
      </c>
    </row>
    <row r="240" spans="1:18" x14ac:dyDescent="0.25">
      <c r="A240" t="s">
        <v>497</v>
      </c>
      <c r="B240" s="7">
        <v>44172</v>
      </c>
      <c r="C240" t="str">
        <f>TEXT(Table3[[#This Row],[Order Date]],"yyyy")</f>
        <v>2020</v>
      </c>
      <c r="D240" t="s">
        <v>6237</v>
      </c>
      <c r="E240" t="s">
        <v>498</v>
      </c>
      <c r="F240" t="s">
        <v>47</v>
      </c>
      <c r="G240">
        <v>2</v>
      </c>
      <c r="H240" t="s">
        <v>3033</v>
      </c>
      <c r="I240" t="s">
        <v>6210</v>
      </c>
      <c r="J240" t="s">
        <v>2316</v>
      </c>
      <c r="K240" t="s">
        <v>1938</v>
      </c>
      <c r="L240" t="s">
        <v>6211</v>
      </c>
      <c r="M240" t="s">
        <v>6193</v>
      </c>
      <c r="N240">
        <v>2.5</v>
      </c>
      <c r="O240">
        <v>22.884999999999998</v>
      </c>
      <c r="P240">
        <v>0.91539999999999988</v>
      </c>
      <c r="Q240">
        <v>1.3730999999999998</v>
      </c>
      <c r="R240" s="5">
        <v>45.769999999999996</v>
      </c>
    </row>
    <row r="241" spans="1:18" x14ac:dyDescent="0.25">
      <c r="A241" t="s">
        <v>499</v>
      </c>
      <c r="B241" s="7">
        <v>43881</v>
      </c>
      <c r="C241" t="str">
        <f>TEXT(Table3[[#This Row],[Order Date]],"yyyy")</f>
        <v>2020</v>
      </c>
      <c r="D241" t="s">
        <v>6238</v>
      </c>
      <c r="E241" t="s">
        <v>500</v>
      </c>
      <c r="F241" t="s">
        <v>143</v>
      </c>
      <c r="G241">
        <v>4</v>
      </c>
      <c r="H241" t="s">
        <v>3037</v>
      </c>
      <c r="I241" t="s">
        <v>6210</v>
      </c>
      <c r="J241" t="s">
        <v>3041</v>
      </c>
      <c r="K241" t="s">
        <v>1947</v>
      </c>
      <c r="L241" t="s">
        <v>6212</v>
      </c>
      <c r="M241" t="s">
        <v>6215</v>
      </c>
      <c r="N241">
        <v>1</v>
      </c>
      <c r="O241">
        <v>14.85</v>
      </c>
      <c r="P241">
        <v>1.4849999999999999</v>
      </c>
      <c r="Q241">
        <v>1.6335</v>
      </c>
      <c r="R241" s="5">
        <v>59.4</v>
      </c>
    </row>
    <row r="242" spans="1:18" x14ac:dyDescent="0.25">
      <c r="A242" t="s">
        <v>501</v>
      </c>
      <c r="B242" s="7">
        <v>43993</v>
      </c>
      <c r="C242" t="str">
        <f>TEXT(Table3[[#This Row],[Order Date]],"yyyy")</f>
        <v>2020</v>
      </c>
      <c r="D242" t="s">
        <v>6229</v>
      </c>
      <c r="E242" t="s">
        <v>502</v>
      </c>
      <c r="F242" t="s">
        <v>177</v>
      </c>
      <c r="G242">
        <v>6</v>
      </c>
      <c r="H242" t="s">
        <v>3042</v>
      </c>
      <c r="I242" t="s">
        <v>6210</v>
      </c>
      <c r="J242" t="s">
        <v>3044</v>
      </c>
      <c r="K242" t="s">
        <v>1938</v>
      </c>
      <c r="L242" t="s">
        <v>6213</v>
      </c>
      <c r="M242" t="s">
        <v>6193</v>
      </c>
      <c r="N242">
        <v>2.5</v>
      </c>
      <c r="O242">
        <v>25.874999999999996</v>
      </c>
      <c r="P242">
        <v>1.0349999999999999</v>
      </c>
      <c r="Q242">
        <v>2.3287499999999994</v>
      </c>
      <c r="R242" s="5">
        <v>155.24999999999997</v>
      </c>
    </row>
    <row r="243" spans="1:18" x14ac:dyDescent="0.25">
      <c r="A243" t="s">
        <v>503</v>
      </c>
      <c r="B243" s="7">
        <v>44082</v>
      </c>
      <c r="C243" t="str">
        <f>TEXT(Table3[[#This Row],[Order Date]],"yyyy")</f>
        <v>2020</v>
      </c>
      <c r="D243" t="s">
        <v>6228</v>
      </c>
      <c r="E243" t="s">
        <v>504</v>
      </c>
      <c r="F243" t="s">
        <v>47</v>
      </c>
      <c r="G243">
        <v>2</v>
      </c>
      <c r="H243" t="s">
        <v>3045</v>
      </c>
      <c r="I243" t="s">
        <v>6210</v>
      </c>
      <c r="J243" t="s">
        <v>3048</v>
      </c>
      <c r="K243" t="s">
        <v>1947</v>
      </c>
      <c r="L243" t="s">
        <v>6211</v>
      </c>
      <c r="M243" t="s">
        <v>6193</v>
      </c>
      <c r="N243">
        <v>2.5</v>
      </c>
      <c r="O243">
        <v>22.884999999999998</v>
      </c>
      <c r="P243">
        <v>0.91539999999999988</v>
      </c>
      <c r="Q243">
        <v>1.3730999999999998</v>
      </c>
      <c r="R243" s="5">
        <v>45.769999999999996</v>
      </c>
    </row>
    <row r="244" spans="1:18" x14ac:dyDescent="0.25">
      <c r="A244" t="s">
        <v>505</v>
      </c>
      <c r="B244" s="7">
        <v>43918</v>
      </c>
      <c r="C244" t="str">
        <f>TEXT(Table3[[#This Row],[Order Date]],"yyyy")</f>
        <v>2020</v>
      </c>
      <c r="D244" t="s">
        <v>6234</v>
      </c>
      <c r="E244" t="s">
        <v>506</v>
      </c>
      <c r="F244" t="s">
        <v>251</v>
      </c>
      <c r="G244">
        <v>3</v>
      </c>
      <c r="H244" t="s">
        <v>3049</v>
      </c>
      <c r="I244" t="s">
        <v>6210</v>
      </c>
      <c r="J244" t="s">
        <v>2994</v>
      </c>
      <c r="K244" t="s">
        <v>1938</v>
      </c>
      <c r="L244" t="s">
        <v>6212</v>
      </c>
      <c r="M244" t="s">
        <v>6195</v>
      </c>
      <c r="N244">
        <v>1</v>
      </c>
      <c r="O244">
        <v>12.15</v>
      </c>
      <c r="P244">
        <v>1.2150000000000001</v>
      </c>
      <c r="Q244">
        <v>1.3365</v>
      </c>
      <c r="R244" s="5">
        <v>36.450000000000003</v>
      </c>
    </row>
    <row r="245" spans="1:18" x14ac:dyDescent="0.25">
      <c r="A245" t="s">
        <v>507</v>
      </c>
      <c r="B245" s="7">
        <v>44114</v>
      </c>
      <c r="C245" t="str">
        <f>TEXT(Table3[[#This Row],[Order Date]],"yyyy")</f>
        <v>2020</v>
      </c>
      <c r="D245" t="s">
        <v>6235</v>
      </c>
      <c r="E245" t="s">
        <v>508</v>
      </c>
      <c r="F245" t="s">
        <v>22</v>
      </c>
      <c r="G245">
        <v>4</v>
      </c>
      <c r="H245" t="s">
        <v>3053</v>
      </c>
      <c r="I245" t="s">
        <v>6210</v>
      </c>
      <c r="J245" t="s">
        <v>2216</v>
      </c>
      <c r="K245" t="s">
        <v>1938</v>
      </c>
      <c r="L245" t="s">
        <v>6212</v>
      </c>
      <c r="M245" t="s">
        <v>6195</v>
      </c>
      <c r="N245">
        <v>0.5</v>
      </c>
      <c r="O245">
        <v>7.29</v>
      </c>
      <c r="P245">
        <v>1.458</v>
      </c>
      <c r="Q245">
        <v>0.80190000000000006</v>
      </c>
      <c r="R245" s="5">
        <v>29.16</v>
      </c>
    </row>
    <row r="246" spans="1:18" x14ac:dyDescent="0.25">
      <c r="A246" t="s">
        <v>509</v>
      </c>
      <c r="B246" s="7">
        <v>44702</v>
      </c>
      <c r="C246" t="str">
        <f>TEXT(Table3[[#This Row],[Order Date]],"yyyy")</f>
        <v>2022</v>
      </c>
      <c r="D246" t="s">
        <v>6233</v>
      </c>
      <c r="E246" t="s">
        <v>510</v>
      </c>
      <c r="F246" t="s">
        <v>203</v>
      </c>
      <c r="G246">
        <v>4</v>
      </c>
      <c r="H246" t="s">
        <v>3057</v>
      </c>
      <c r="I246" t="s">
        <v>6210</v>
      </c>
      <c r="J246" t="s">
        <v>2588</v>
      </c>
      <c r="K246" t="s">
        <v>1947</v>
      </c>
      <c r="L246" t="s">
        <v>6199</v>
      </c>
      <c r="M246" t="s">
        <v>6193</v>
      </c>
      <c r="N246">
        <v>2.5</v>
      </c>
      <c r="O246">
        <v>33.464999999999996</v>
      </c>
      <c r="P246">
        <v>1.3385999999999998</v>
      </c>
      <c r="Q246">
        <v>4.3504499999999995</v>
      </c>
      <c r="R246" s="5">
        <v>133.85999999999999</v>
      </c>
    </row>
    <row r="247" spans="1:18" x14ac:dyDescent="0.25">
      <c r="A247" t="s">
        <v>511</v>
      </c>
      <c r="B247" s="7">
        <v>43951</v>
      </c>
      <c r="C247" t="str">
        <f>TEXT(Table3[[#This Row],[Order Date]],"yyyy")</f>
        <v>2020</v>
      </c>
      <c r="D247" t="s">
        <v>6236</v>
      </c>
      <c r="E247" t="s">
        <v>512</v>
      </c>
      <c r="F247" t="s">
        <v>25</v>
      </c>
      <c r="G247">
        <v>5</v>
      </c>
      <c r="H247" t="s">
        <v>3061</v>
      </c>
      <c r="I247" t="s">
        <v>6210</v>
      </c>
      <c r="J247" t="s">
        <v>3065</v>
      </c>
      <c r="K247" t="s">
        <v>1938</v>
      </c>
      <c r="L247" t="s">
        <v>6199</v>
      </c>
      <c r="M247" t="s">
        <v>6215</v>
      </c>
      <c r="N247">
        <v>0.2</v>
      </c>
      <c r="O247">
        <v>4.7549999999999999</v>
      </c>
      <c r="P247">
        <v>2.3774999999999999</v>
      </c>
      <c r="Q247">
        <v>0.61814999999999998</v>
      </c>
      <c r="R247" s="5">
        <v>23.774999999999999</v>
      </c>
    </row>
    <row r="248" spans="1:18" x14ac:dyDescent="0.25">
      <c r="A248" t="s">
        <v>513</v>
      </c>
      <c r="B248" s="7">
        <v>44542</v>
      </c>
      <c r="C248" t="str">
        <f>TEXT(Table3[[#This Row],[Order Date]],"yyyy")</f>
        <v>2021</v>
      </c>
      <c r="D248" t="s">
        <v>6237</v>
      </c>
      <c r="E248" t="s">
        <v>514</v>
      </c>
      <c r="F248" t="s">
        <v>19</v>
      </c>
      <c r="G248">
        <v>3</v>
      </c>
      <c r="H248" t="s">
        <v>3066</v>
      </c>
      <c r="I248" t="s">
        <v>2112</v>
      </c>
      <c r="J248" t="s">
        <v>3070</v>
      </c>
      <c r="K248" t="s">
        <v>1947</v>
      </c>
      <c r="L248" t="s">
        <v>6199</v>
      </c>
      <c r="M248" t="s">
        <v>6195</v>
      </c>
      <c r="N248">
        <v>1</v>
      </c>
      <c r="O248">
        <v>12.95</v>
      </c>
      <c r="P248">
        <v>1.2949999999999999</v>
      </c>
      <c r="Q248">
        <v>1.6835</v>
      </c>
      <c r="R248" s="5">
        <v>38.849999999999994</v>
      </c>
    </row>
    <row r="249" spans="1:18" x14ac:dyDescent="0.25">
      <c r="A249" t="s">
        <v>515</v>
      </c>
      <c r="B249" s="7">
        <v>44131</v>
      </c>
      <c r="C249" t="str">
        <f>TEXT(Table3[[#This Row],[Order Date]],"yyyy")</f>
        <v>2020</v>
      </c>
      <c r="D249" t="s">
        <v>6235</v>
      </c>
      <c r="E249" t="s">
        <v>516</v>
      </c>
      <c r="F249" t="s">
        <v>188</v>
      </c>
      <c r="G249">
        <v>6</v>
      </c>
      <c r="H249" t="s">
        <v>3072</v>
      </c>
      <c r="I249" t="s">
        <v>1945</v>
      </c>
      <c r="J249" t="s">
        <v>3075</v>
      </c>
      <c r="K249" t="s">
        <v>1938</v>
      </c>
      <c r="L249" t="s">
        <v>6211</v>
      </c>
      <c r="M249" t="s">
        <v>6215</v>
      </c>
      <c r="N249">
        <v>0.2</v>
      </c>
      <c r="O249">
        <v>3.5849999999999995</v>
      </c>
      <c r="P249">
        <v>1.7924999999999998</v>
      </c>
      <c r="Q249">
        <v>0.21509999999999996</v>
      </c>
      <c r="R249" s="5">
        <v>21.509999999999998</v>
      </c>
    </row>
    <row r="250" spans="1:18" x14ac:dyDescent="0.25">
      <c r="A250" t="s">
        <v>517</v>
      </c>
      <c r="B250" s="7">
        <v>44019</v>
      </c>
      <c r="C250" t="str">
        <f>TEXT(Table3[[#This Row],[Order Date]],"yyyy")</f>
        <v>2020</v>
      </c>
      <c r="D250" t="s">
        <v>6230</v>
      </c>
      <c r="E250" t="s">
        <v>518</v>
      </c>
      <c r="F250" t="s">
        <v>33</v>
      </c>
      <c r="G250">
        <v>1</v>
      </c>
      <c r="H250" t="s">
        <v>3077</v>
      </c>
      <c r="I250" t="s">
        <v>6210</v>
      </c>
      <c r="J250" t="s">
        <v>2133</v>
      </c>
      <c r="K250" t="s">
        <v>1938</v>
      </c>
      <c r="L250" t="s">
        <v>6213</v>
      </c>
      <c r="M250" t="s">
        <v>6195</v>
      </c>
      <c r="N250">
        <v>1</v>
      </c>
      <c r="O250">
        <v>9.9499999999999993</v>
      </c>
      <c r="P250">
        <v>0.99499999999999988</v>
      </c>
      <c r="Q250">
        <v>0.89549999999999985</v>
      </c>
      <c r="R250" s="5">
        <v>9.9499999999999993</v>
      </c>
    </row>
    <row r="251" spans="1:18" x14ac:dyDescent="0.25">
      <c r="A251" t="s">
        <v>519</v>
      </c>
      <c r="B251" s="7">
        <v>43861</v>
      </c>
      <c r="C251" t="str">
        <f>TEXT(Table3[[#This Row],[Order Date]],"yyyy")</f>
        <v>2020</v>
      </c>
      <c r="D251" t="s">
        <v>6232</v>
      </c>
      <c r="E251" t="s">
        <v>520</v>
      </c>
      <c r="F251" t="s">
        <v>138</v>
      </c>
      <c r="G251">
        <v>1</v>
      </c>
      <c r="H251" t="s">
        <v>3112</v>
      </c>
      <c r="I251" t="s">
        <v>6210</v>
      </c>
      <c r="J251" t="s">
        <v>3116</v>
      </c>
      <c r="K251" t="s">
        <v>1938</v>
      </c>
      <c r="L251" t="s">
        <v>6199</v>
      </c>
      <c r="M251" t="s">
        <v>6215</v>
      </c>
      <c r="N251">
        <v>1</v>
      </c>
      <c r="O251">
        <v>15.85</v>
      </c>
      <c r="P251">
        <v>1.585</v>
      </c>
      <c r="Q251">
        <v>2.0605000000000002</v>
      </c>
      <c r="R251" s="5">
        <v>15.85</v>
      </c>
    </row>
    <row r="252" spans="1:18" x14ac:dyDescent="0.25">
      <c r="A252" t="s">
        <v>521</v>
      </c>
      <c r="B252" s="7">
        <v>43879</v>
      </c>
      <c r="C252" t="str">
        <f>TEXT(Table3[[#This Row],[Order Date]],"yyyy")</f>
        <v>2020</v>
      </c>
      <c r="D252" t="s">
        <v>6238</v>
      </c>
      <c r="E252" t="s">
        <v>522</v>
      </c>
      <c r="F252" t="s">
        <v>168</v>
      </c>
      <c r="G252">
        <v>1</v>
      </c>
      <c r="H252" t="s">
        <v>3086</v>
      </c>
      <c r="I252" t="s">
        <v>6210</v>
      </c>
      <c r="J252" t="s">
        <v>2296</v>
      </c>
      <c r="K252" t="s">
        <v>1938</v>
      </c>
      <c r="L252" t="s">
        <v>6211</v>
      </c>
      <c r="M252" t="s">
        <v>6193</v>
      </c>
      <c r="N252">
        <v>0.2</v>
      </c>
      <c r="O252">
        <v>2.9849999999999999</v>
      </c>
      <c r="P252">
        <v>1.4924999999999999</v>
      </c>
      <c r="Q252">
        <v>0.17909999999999998</v>
      </c>
      <c r="R252" s="5">
        <v>2.9849999999999999</v>
      </c>
    </row>
    <row r="253" spans="1:18" x14ac:dyDescent="0.25">
      <c r="A253" t="s">
        <v>523</v>
      </c>
      <c r="B253" s="7">
        <v>44360</v>
      </c>
      <c r="C253" t="str">
        <f>TEXT(Table3[[#This Row],[Order Date]],"yyyy")</f>
        <v>2021</v>
      </c>
      <c r="D253" t="s">
        <v>6229</v>
      </c>
      <c r="E253" t="s">
        <v>524</v>
      </c>
      <c r="F253" t="s">
        <v>15</v>
      </c>
      <c r="G253">
        <v>5</v>
      </c>
      <c r="H253" t="s">
        <v>3090</v>
      </c>
      <c r="I253" t="s">
        <v>6210</v>
      </c>
      <c r="J253" t="s">
        <v>3094</v>
      </c>
      <c r="K253" t="s">
        <v>1938</v>
      </c>
      <c r="L253" t="s">
        <v>6212</v>
      </c>
      <c r="M253" t="s">
        <v>6193</v>
      </c>
      <c r="N253">
        <v>1</v>
      </c>
      <c r="O253">
        <v>13.75</v>
      </c>
      <c r="P253">
        <v>1.375</v>
      </c>
      <c r="Q253">
        <v>1.5125</v>
      </c>
      <c r="R253" s="5">
        <v>68.75</v>
      </c>
    </row>
    <row r="254" spans="1:18" x14ac:dyDescent="0.25">
      <c r="A254" t="s">
        <v>525</v>
      </c>
      <c r="B254" s="7">
        <v>44779</v>
      </c>
      <c r="C254" t="str">
        <f>TEXT(Table3[[#This Row],[Order Date]],"yyyy")</f>
        <v>2022</v>
      </c>
      <c r="D254" t="s">
        <v>6231</v>
      </c>
      <c r="E254" t="s">
        <v>526</v>
      </c>
      <c r="F254" t="s">
        <v>33</v>
      </c>
      <c r="G254">
        <v>3</v>
      </c>
      <c r="H254" t="s">
        <v>3095</v>
      </c>
      <c r="I254" t="s">
        <v>6210</v>
      </c>
      <c r="J254" t="s">
        <v>2095</v>
      </c>
      <c r="K254" t="s">
        <v>1947</v>
      </c>
      <c r="L254" t="s">
        <v>6213</v>
      </c>
      <c r="M254" t="s">
        <v>6195</v>
      </c>
      <c r="N254">
        <v>1</v>
      </c>
      <c r="O254">
        <v>9.9499999999999993</v>
      </c>
      <c r="P254">
        <v>0.99499999999999988</v>
      </c>
      <c r="Q254">
        <v>0.89549999999999985</v>
      </c>
      <c r="R254" s="5">
        <v>29.849999999999998</v>
      </c>
    </row>
    <row r="255" spans="1:18" x14ac:dyDescent="0.25">
      <c r="A255" t="s">
        <v>527</v>
      </c>
      <c r="B255" s="7">
        <v>44523</v>
      </c>
      <c r="C255" t="str">
        <f>TEXT(Table3[[#This Row],[Order Date]],"yyyy")</f>
        <v>2021</v>
      </c>
      <c r="D255" t="s">
        <v>6239</v>
      </c>
      <c r="E255" t="s">
        <v>528</v>
      </c>
      <c r="F255" t="s">
        <v>102</v>
      </c>
      <c r="G255">
        <v>4</v>
      </c>
      <c r="H255" t="s">
        <v>3098</v>
      </c>
      <c r="I255" t="s">
        <v>6210</v>
      </c>
      <c r="J255" t="s">
        <v>3102</v>
      </c>
      <c r="K255" t="s">
        <v>1947</v>
      </c>
      <c r="L255" t="s">
        <v>6199</v>
      </c>
      <c r="M255" t="s">
        <v>6193</v>
      </c>
      <c r="N255">
        <v>1</v>
      </c>
      <c r="O255">
        <v>14.55</v>
      </c>
      <c r="P255">
        <v>1.4550000000000001</v>
      </c>
      <c r="Q255">
        <v>1.8915000000000002</v>
      </c>
      <c r="R255" s="5">
        <v>58.2</v>
      </c>
    </row>
    <row r="256" spans="1:18" x14ac:dyDescent="0.25">
      <c r="A256" t="s">
        <v>529</v>
      </c>
      <c r="B256" s="7">
        <v>44482</v>
      </c>
      <c r="C256" t="str">
        <f>TEXT(Table3[[#This Row],[Order Date]],"yyyy")</f>
        <v>2021</v>
      </c>
      <c r="D256" t="s">
        <v>6235</v>
      </c>
      <c r="E256" t="s">
        <v>530</v>
      </c>
      <c r="F256" t="s">
        <v>163</v>
      </c>
      <c r="G256">
        <v>4</v>
      </c>
      <c r="H256" t="s">
        <v>3103</v>
      </c>
      <c r="I256" t="s">
        <v>2112</v>
      </c>
      <c r="J256" t="s">
        <v>3106</v>
      </c>
      <c r="K256" t="s">
        <v>1947</v>
      </c>
      <c r="L256" t="s">
        <v>6211</v>
      </c>
      <c r="M256" t="s">
        <v>6215</v>
      </c>
      <c r="N256">
        <v>0.5</v>
      </c>
      <c r="O256">
        <v>7.169999999999999</v>
      </c>
      <c r="P256">
        <v>1.4339999999999997</v>
      </c>
      <c r="Q256">
        <v>0.43019999999999992</v>
      </c>
      <c r="R256" s="5">
        <v>28.679999999999996</v>
      </c>
    </row>
    <row r="257" spans="1:18" x14ac:dyDescent="0.25">
      <c r="A257" t="s">
        <v>531</v>
      </c>
      <c r="B257" s="7">
        <v>44439</v>
      </c>
      <c r="C257" t="str">
        <f>TEXT(Table3[[#This Row],[Order Date]],"yyyy")</f>
        <v>2021</v>
      </c>
      <c r="D257" t="s">
        <v>6231</v>
      </c>
      <c r="E257" t="s">
        <v>532</v>
      </c>
      <c r="F257" t="s">
        <v>163</v>
      </c>
      <c r="G257">
        <v>3</v>
      </c>
      <c r="H257" t="s">
        <v>3108</v>
      </c>
      <c r="I257" t="s">
        <v>6210</v>
      </c>
      <c r="J257" t="s">
        <v>2136</v>
      </c>
      <c r="K257" t="s">
        <v>1947</v>
      </c>
      <c r="L257" t="s">
        <v>6211</v>
      </c>
      <c r="M257" t="s">
        <v>6215</v>
      </c>
      <c r="N257">
        <v>0.5</v>
      </c>
      <c r="O257">
        <v>7.169999999999999</v>
      </c>
      <c r="P257">
        <v>1.4339999999999997</v>
      </c>
      <c r="Q257">
        <v>0.43019999999999992</v>
      </c>
      <c r="R257" s="5">
        <v>21.509999999999998</v>
      </c>
    </row>
    <row r="258" spans="1:18" x14ac:dyDescent="0.25">
      <c r="A258" t="s">
        <v>533</v>
      </c>
      <c r="B258" s="7">
        <v>43846</v>
      </c>
      <c r="C258" t="str">
        <f>TEXT(Table3[[#This Row],[Order Date]],"yyyy")</f>
        <v>2020</v>
      </c>
      <c r="D258" t="s">
        <v>6232</v>
      </c>
      <c r="E258" t="s">
        <v>520</v>
      </c>
      <c r="F258" t="s">
        <v>84</v>
      </c>
      <c r="G258">
        <v>2</v>
      </c>
      <c r="H258" t="s">
        <v>3112</v>
      </c>
      <c r="I258" t="s">
        <v>6210</v>
      </c>
      <c r="J258" t="s">
        <v>3116</v>
      </c>
      <c r="K258" t="s">
        <v>1938</v>
      </c>
      <c r="L258" t="s">
        <v>6199</v>
      </c>
      <c r="M258" t="s">
        <v>6193</v>
      </c>
      <c r="N258">
        <v>0.5</v>
      </c>
      <c r="O258">
        <v>8.73</v>
      </c>
      <c r="P258">
        <v>1.746</v>
      </c>
      <c r="Q258">
        <v>1.1349</v>
      </c>
      <c r="R258" s="5">
        <v>17.46</v>
      </c>
    </row>
    <row r="259" spans="1:18" x14ac:dyDescent="0.25">
      <c r="A259" t="s">
        <v>534</v>
      </c>
      <c r="B259" s="7">
        <v>44676</v>
      </c>
      <c r="C259" t="str">
        <f>TEXT(Table3[[#This Row],[Order Date]],"yyyy")</f>
        <v>2022</v>
      </c>
      <c r="D259" t="s">
        <v>6236</v>
      </c>
      <c r="E259" t="s">
        <v>535</v>
      </c>
      <c r="F259" t="s">
        <v>536</v>
      </c>
      <c r="G259">
        <v>1</v>
      </c>
      <c r="H259" t="s">
        <v>3117</v>
      </c>
      <c r="I259" t="s">
        <v>6210</v>
      </c>
      <c r="J259" t="s">
        <v>2856</v>
      </c>
      <c r="K259" t="s">
        <v>1938</v>
      </c>
      <c r="L259" t="s">
        <v>6212</v>
      </c>
      <c r="M259" t="s">
        <v>6195</v>
      </c>
      <c r="N259">
        <v>2.5</v>
      </c>
      <c r="O259">
        <v>27.945</v>
      </c>
      <c r="P259">
        <v>1.1177999999999999</v>
      </c>
      <c r="Q259">
        <v>3.07395</v>
      </c>
      <c r="R259" s="5">
        <v>27.945</v>
      </c>
    </row>
    <row r="260" spans="1:18" x14ac:dyDescent="0.25">
      <c r="A260" t="s">
        <v>537</v>
      </c>
      <c r="B260" s="7">
        <v>44513</v>
      </c>
      <c r="C260" t="str">
        <f>TEXT(Table3[[#This Row],[Order Date]],"yyyy")</f>
        <v>2021</v>
      </c>
      <c r="D260" t="s">
        <v>6239</v>
      </c>
      <c r="E260" t="s">
        <v>538</v>
      </c>
      <c r="F260" t="s">
        <v>536</v>
      </c>
      <c r="G260">
        <v>5</v>
      </c>
      <c r="H260" t="s">
        <v>3121</v>
      </c>
      <c r="I260" t="s">
        <v>6210</v>
      </c>
      <c r="J260" t="s">
        <v>2753</v>
      </c>
      <c r="K260" t="s">
        <v>1947</v>
      </c>
      <c r="L260" t="s">
        <v>6212</v>
      </c>
      <c r="M260" t="s">
        <v>6195</v>
      </c>
      <c r="N260">
        <v>2.5</v>
      </c>
      <c r="O260">
        <v>27.945</v>
      </c>
      <c r="P260">
        <v>1.1177999999999999</v>
      </c>
      <c r="Q260">
        <v>3.07395</v>
      </c>
      <c r="R260" s="5">
        <v>139.72499999999999</v>
      </c>
    </row>
    <row r="261" spans="1:18" x14ac:dyDescent="0.25">
      <c r="A261" t="s">
        <v>539</v>
      </c>
      <c r="B261" s="7">
        <v>44355</v>
      </c>
      <c r="C261" t="str">
        <f>TEXT(Table3[[#This Row],[Order Date]],"yyyy")</f>
        <v>2021</v>
      </c>
      <c r="D261" t="s">
        <v>6229</v>
      </c>
      <c r="E261" t="s">
        <v>540</v>
      </c>
      <c r="F261" t="s">
        <v>168</v>
      </c>
      <c r="G261">
        <v>2</v>
      </c>
      <c r="H261" t="s">
        <v>3125</v>
      </c>
      <c r="I261" t="s">
        <v>2112</v>
      </c>
      <c r="J261" t="s">
        <v>3129</v>
      </c>
      <c r="K261" t="s">
        <v>1947</v>
      </c>
      <c r="L261" t="s">
        <v>6211</v>
      </c>
      <c r="M261" t="s">
        <v>6193</v>
      </c>
      <c r="N261">
        <v>0.2</v>
      </c>
      <c r="O261">
        <v>2.9849999999999999</v>
      </c>
      <c r="P261">
        <v>1.4924999999999999</v>
      </c>
      <c r="Q261">
        <v>0.17909999999999998</v>
      </c>
      <c r="R261" s="5">
        <v>5.97</v>
      </c>
    </row>
    <row r="262" spans="1:18" x14ac:dyDescent="0.25">
      <c r="A262" t="s">
        <v>541</v>
      </c>
      <c r="B262" s="7">
        <v>44156</v>
      </c>
      <c r="C262" t="str">
        <f>TEXT(Table3[[#This Row],[Order Date]],"yyyy")</f>
        <v>2020</v>
      </c>
      <c r="D262" t="s">
        <v>6239</v>
      </c>
      <c r="E262" t="s">
        <v>542</v>
      </c>
      <c r="F262" t="s">
        <v>16</v>
      </c>
      <c r="G262">
        <v>1</v>
      </c>
      <c r="H262" t="s">
        <v>3131</v>
      </c>
      <c r="I262" t="s">
        <v>6210</v>
      </c>
      <c r="J262" t="s">
        <v>2009</v>
      </c>
      <c r="K262" t="s">
        <v>1938</v>
      </c>
      <c r="L262" t="s">
        <v>6211</v>
      </c>
      <c r="M262" t="s">
        <v>6215</v>
      </c>
      <c r="N262">
        <v>2.5</v>
      </c>
      <c r="O262">
        <v>27.484999999999996</v>
      </c>
      <c r="P262">
        <v>1.0993999999999999</v>
      </c>
      <c r="Q262">
        <v>1.6490999999999998</v>
      </c>
      <c r="R262" s="5">
        <v>27.484999999999996</v>
      </c>
    </row>
    <row r="263" spans="1:18" x14ac:dyDescent="0.25">
      <c r="A263" t="s">
        <v>543</v>
      </c>
      <c r="B263" s="7">
        <v>43538</v>
      </c>
      <c r="C263" t="str">
        <f>TEXT(Table3[[#This Row],[Order Date]],"yyyy")</f>
        <v>2019</v>
      </c>
      <c r="D263" t="s">
        <v>6234</v>
      </c>
      <c r="E263" t="s">
        <v>544</v>
      </c>
      <c r="F263" t="s">
        <v>195</v>
      </c>
      <c r="G263">
        <v>5</v>
      </c>
      <c r="H263" t="s">
        <v>3134</v>
      </c>
      <c r="I263" t="s">
        <v>6210</v>
      </c>
      <c r="J263" t="s">
        <v>3138</v>
      </c>
      <c r="K263" t="s">
        <v>1938</v>
      </c>
      <c r="L263" t="s">
        <v>6211</v>
      </c>
      <c r="M263" t="s">
        <v>6215</v>
      </c>
      <c r="N263">
        <v>1</v>
      </c>
      <c r="O263">
        <v>11.95</v>
      </c>
      <c r="P263">
        <v>1.1949999999999998</v>
      </c>
      <c r="Q263">
        <v>0.71699999999999997</v>
      </c>
      <c r="R263" s="5">
        <v>59.75</v>
      </c>
    </row>
    <row r="264" spans="1:18" x14ac:dyDescent="0.25">
      <c r="A264" t="s">
        <v>545</v>
      </c>
      <c r="B264" s="7">
        <v>43693</v>
      </c>
      <c r="C264" t="str">
        <f>TEXT(Table3[[#This Row],[Order Date]],"yyyy")</f>
        <v>2019</v>
      </c>
      <c r="D264" t="s">
        <v>6231</v>
      </c>
      <c r="E264" t="s">
        <v>546</v>
      </c>
      <c r="F264" t="s">
        <v>15</v>
      </c>
      <c r="G264">
        <v>3</v>
      </c>
      <c r="H264" t="s">
        <v>3139</v>
      </c>
      <c r="I264" t="s">
        <v>6210</v>
      </c>
      <c r="J264" t="s">
        <v>3143</v>
      </c>
      <c r="K264" t="s">
        <v>1947</v>
      </c>
      <c r="L264" t="s">
        <v>6212</v>
      </c>
      <c r="M264" t="s">
        <v>6193</v>
      </c>
      <c r="N264">
        <v>1</v>
      </c>
      <c r="O264">
        <v>13.75</v>
      </c>
      <c r="P264">
        <v>1.375</v>
      </c>
      <c r="Q264">
        <v>1.5125</v>
      </c>
      <c r="R264" s="5">
        <v>41.25</v>
      </c>
    </row>
    <row r="265" spans="1:18" x14ac:dyDescent="0.25">
      <c r="A265" t="s">
        <v>547</v>
      </c>
      <c r="B265" s="7">
        <v>43577</v>
      </c>
      <c r="C265" t="str">
        <f>TEXT(Table3[[#This Row],[Order Date]],"yyyy")</f>
        <v>2019</v>
      </c>
      <c r="D265" t="s">
        <v>6236</v>
      </c>
      <c r="E265" t="s">
        <v>548</v>
      </c>
      <c r="F265" t="s">
        <v>203</v>
      </c>
      <c r="G265">
        <v>4</v>
      </c>
      <c r="H265" t="s">
        <v>3144</v>
      </c>
      <c r="I265" t="s">
        <v>6210</v>
      </c>
      <c r="J265" t="s">
        <v>2000</v>
      </c>
      <c r="K265" t="s">
        <v>1947</v>
      </c>
      <c r="L265" t="s">
        <v>6199</v>
      </c>
      <c r="M265" t="s">
        <v>6193</v>
      </c>
      <c r="N265">
        <v>2.5</v>
      </c>
      <c r="O265">
        <v>33.464999999999996</v>
      </c>
      <c r="P265">
        <v>1.3385999999999998</v>
      </c>
      <c r="Q265">
        <v>4.3504499999999995</v>
      </c>
      <c r="R265" s="5">
        <v>133.85999999999999</v>
      </c>
    </row>
    <row r="266" spans="1:18" x14ac:dyDescent="0.25">
      <c r="A266" t="s">
        <v>549</v>
      </c>
      <c r="B266" s="7">
        <v>44683</v>
      </c>
      <c r="C266" t="str">
        <f>TEXT(Table3[[#This Row],[Order Date]],"yyyy")</f>
        <v>2022</v>
      </c>
      <c r="D266" t="s">
        <v>6233</v>
      </c>
      <c r="E266" t="s">
        <v>550</v>
      </c>
      <c r="F266" t="s">
        <v>195</v>
      </c>
      <c r="G266">
        <v>5</v>
      </c>
      <c r="H266" t="s">
        <v>3147</v>
      </c>
      <c r="I266" t="s">
        <v>1945</v>
      </c>
      <c r="J266" t="s">
        <v>3150</v>
      </c>
      <c r="K266" t="s">
        <v>1938</v>
      </c>
      <c r="L266" t="s">
        <v>6211</v>
      </c>
      <c r="M266" t="s">
        <v>6215</v>
      </c>
      <c r="N266">
        <v>1</v>
      </c>
      <c r="O266">
        <v>11.95</v>
      </c>
      <c r="P266">
        <v>1.1949999999999998</v>
      </c>
      <c r="Q266">
        <v>0.71699999999999997</v>
      </c>
      <c r="R266" s="5">
        <v>59.75</v>
      </c>
    </row>
    <row r="267" spans="1:18" x14ac:dyDescent="0.25">
      <c r="A267" t="s">
        <v>551</v>
      </c>
      <c r="B267" s="7">
        <v>43872</v>
      </c>
      <c r="C267" t="str">
        <f>TEXT(Table3[[#This Row],[Order Date]],"yyyy")</f>
        <v>2020</v>
      </c>
      <c r="D267" t="s">
        <v>6238</v>
      </c>
      <c r="E267" t="s">
        <v>552</v>
      </c>
      <c r="F267" t="s">
        <v>78</v>
      </c>
      <c r="G267">
        <v>1</v>
      </c>
      <c r="H267" t="s">
        <v>3151</v>
      </c>
      <c r="I267" t="s">
        <v>6210</v>
      </c>
      <c r="J267" t="s">
        <v>2123</v>
      </c>
      <c r="K267" t="s">
        <v>1938</v>
      </c>
      <c r="L267" t="s">
        <v>6213</v>
      </c>
      <c r="M267" t="s">
        <v>6195</v>
      </c>
      <c r="N267">
        <v>0.5</v>
      </c>
      <c r="O267">
        <v>5.97</v>
      </c>
      <c r="P267">
        <v>1.194</v>
      </c>
      <c r="Q267">
        <v>0.5373</v>
      </c>
      <c r="R267" s="5">
        <v>5.97</v>
      </c>
    </row>
    <row r="268" spans="1:18" x14ac:dyDescent="0.25">
      <c r="A268" t="s">
        <v>553</v>
      </c>
      <c r="B268" s="7">
        <v>44283</v>
      </c>
      <c r="C268" t="str">
        <f>TEXT(Table3[[#This Row],[Order Date]],"yyyy")</f>
        <v>2021</v>
      </c>
      <c r="D268" t="s">
        <v>6234</v>
      </c>
      <c r="E268" t="s">
        <v>554</v>
      </c>
      <c r="F268" t="s">
        <v>251</v>
      </c>
      <c r="G268">
        <v>2</v>
      </c>
      <c r="H268" t="s">
        <v>3155</v>
      </c>
      <c r="I268" t="s">
        <v>2112</v>
      </c>
      <c r="J268" t="s">
        <v>3159</v>
      </c>
      <c r="K268" t="s">
        <v>1947</v>
      </c>
      <c r="L268" t="s">
        <v>6212</v>
      </c>
      <c r="M268" t="s">
        <v>6195</v>
      </c>
      <c r="N268">
        <v>1</v>
      </c>
      <c r="O268">
        <v>12.15</v>
      </c>
      <c r="P268">
        <v>1.2150000000000001</v>
      </c>
      <c r="Q268">
        <v>1.3365</v>
      </c>
      <c r="R268" s="5">
        <v>24.3</v>
      </c>
    </row>
    <row r="269" spans="1:18" x14ac:dyDescent="0.25">
      <c r="A269" t="s">
        <v>555</v>
      </c>
      <c r="B269" s="7">
        <v>44324</v>
      </c>
      <c r="C269" t="str">
        <f>TEXT(Table3[[#This Row],[Order Date]],"yyyy")</f>
        <v>2021</v>
      </c>
      <c r="D269" t="s">
        <v>6233</v>
      </c>
      <c r="E269" t="s">
        <v>556</v>
      </c>
      <c r="F269" t="s">
        <v>57</v>
      </c>
      <c r="G269">
        <v>6</v>
      </c>
      <c r="H269" t="s">
        <v>3161</v>
      </c>
      <c r="I269" t="s">
        <v>6210</v>
      </c>
      <c r="J269" t="s">
        <v>2743</v>
      </c>
      <c r="K269" t="s">
        <v>1938</v>
      </c>
      <c r="L269" t="s">
        <v>6212</v>
      </c>
      <c r="M269" t="s">
        <v>6195</v>
      </c>
      <c r="N269">
        <v>0.2</v>
      </c>
      <c r="O269">
        <v>3.645</v>
      </c>
      <c r="P269">
        <v>1.8225</v>
      </c>
      <c r="Q269">
        <v>0.40095000000000003</v>
      </c>
      <c r="R269" s="5">
        <v>21.87</v>
      </c>
    </row>
    <row r="270" spans="1:18" x14ac:dyDescent="0.25">
      <c r="A270" t="s">
        <v>557</v>
      </c>
      <c r="B270" s="7">
        <v>43790</v>
      </c>
      <c r="C270" t="str">
        <f>TEXT(Table3[[#This Row],[Order Date]],"yyyy")</f>
        <v>2019</v>
      </c>
      <c r="D270" t="s">
        <v>6239</v>
      </c>
      <c r="E270" t="s">
        <v>444</v>
      </c>
      <c r="F270" t="s">
        <v>33</v>
      </c>
      <c r="G270">
        <v>2</v>
      </c>
      <c r="H270" t="s">
        <v>2909</v>
      </c>
      <c r="I270" t="s">
        <v>6210</v>
      </c>
      <c r="J270" t="s">
        <v>2781</v>
      </c>
      <c r="K270" t="s">
        <v>1938</v>
      </c>
      <c r="L270" t="s">
        <v>6213</v>
      </c>
      <c r="M270" t="s">
        <v>6195</v>
      </c>
      <c r="N270">
        <v>1</v>
      </c>
      <c r="O270">
        <v>9.9499999999999993</v>
      </c>
      <c r="P270">
        <v>0.99499999999999988</v>
      </c>
      <c r="Q270">
        <v>0.89549999999999985</v>
      </c>
      <c r="R270" s="5">
        <v>19.899999999999999</v>
      </c>
    </row>
    <row r="271" spans="1:18" x14ac:dyDescent="0.25">
      <c r="A271" t="s">
        <v>558</v>
      </c>
      <c r="B271" s="7">
        <v>44333</v>
      </c>
      <c r="C271" t="str">
        <f>TEXT(Table3[[#This Row],[Order Date]],"yyyy")</f>
        <v>2021</v>
      </c>
      <c r="D271" t="s">
        <v>6233</v>
      </c>
      <c r="E271" t="s">
        <v>559</v>
      </c>
      <c r="F271" t="s">
        <v>60</v>
      </c>
      <c r="G271">
        <v>2</v>
      </c>
      <c r="H271" t="s">
        <v>3170</v>
      </c>
      <c r="I271" t="s">
        <v>6210</v>
      </c>
      <c r="J271" t="s">
        <v>3174</v>
      </c>
      <c r="K271" t="s">
        <v>1947</v>
      </c>
      <c r="L271" t="s">
        <v>6213</v>
      </c>
      <c r="M271" t="s">
        <v>6195</v>
      </c>
      <c r="N271">
        <v>0.2</v>
      </c>
      <c r="O271">
        <v>2.9849999999999999</v>
      </c>
      <c r="P271">
        <v>1.4924999999999999</v>
      </c>
      <c r="Q271">
        <v>0.26865</v>
      </c>
      <c r="R271" s="5">
        <v>5.97</v>
      </c>
    </row>
    <row r="272" spans="1:18" x14ac:dyDescent="0.25">
      <c r="A272" t="s">
        <v>560</v>
      </c>
      <c r="B272" s="7">
        <v>43655</v>
      </c>
      <c r="C272" t="str">
        <f>TEXT(Table3[[#This Row],[Order Date]],"yyyy")</f>
        <v>2019</v>
      </c>
      <c r="D272" t="s">
        <v>6230</v>
      </c>
      <c r="E272" t="s">
        <v>561</v>
      </c>
      <c r="F272" t="s">
        <v>22</v>
      </c>
      <c r="G272">
        <v>1</v>
      </c>
      <c r="H272" t="s">
        <v>3175</v>
      </c>
      <c r="I272" t="s">
        <v>1945</v>
      </c>
      <c r="J272" t="s">
        <v>3177</v>
      </c>
      <c r="K272" t="s">
        <v>1938</v>
      </c>
      <c r="L272" t="s">
        <v>6212</v>
      </c>
      <c r="M272" t="s">
        <v>6195</v>
      </c>
      <c r="N272">
        <v>0.5</v>
      </c>
      <c r="O272">
        <v>7.29</v>
      </c>
      <c r="P272">
        <v>1.458</v>
      </c>
      <c r="Q272">
        <v>0.80190000000000006</v>
      </c>
      <c r="R272" s="5">
        <v>7.29</v>
      </c>
    </row>
    <row r="273" spans="1:18" x14ac:dyDescent="0.25">
      <c r="A273" t="s">
        <v>562</v>
      </c>
      <c r="B273" s="7">
        <v>43971</v>
      </c>
      <c r="C273" t="str">
        <f>TEXT(Table3[[#This Row],[Order Date]],"yyyy")</f>
        <v>2020</v>
      </c>
      <c r="D273" t="s">
        <v>6233</v>
      </c>
      <c r="E273" t="s">
        <v>563</v>
      </c>
      <c r="F273" t="s">
        <v>60</v>
      </c>
      <c r="G273">
        <v>4</v>
      </c>
      <c r="H273" t="s">
        <v>3179</v>
      </c>
      <c r="I273" t="s">
        <v>6210</v>
      </c>
      <c r="J273" t="s">
        <v>3183</v>
      </c>
      <c r="K273" t="s">
        <v>1938</v>
      </c>
      <c r="L273" t="s">
        <v>6213</v>
      </c>
      <c r="M273" t="s">
        <v>6195</v>
      </c>
      <c r="N273">
        <v>0.2</v>
      </c>
      <c r="O273">
        <v>2.9849999999999999</v>
      </c>
      <c r="P273">
        <v>1.4924999999999999</v>
      </c>
      <c r="Q273">
        <v>0.26865</v>
      </c>
      <c r="R273" s="5">
        <v>11.94</v>
      </c>
    </row>
    <row r="274" spans="1:18" x14ac:dyDescent="0.25">
      <c r="A274" t="s">
        <v>564</v>
      </c>
      <c r="B274" s="7">
        <v>44435</v>
      </c>
      <c r="C274" t="str">
        <f>TEXT(Table3[[#This Row],[Order Date]],"yyyy")</f>
        <v>2021</v>
      </c>
      <c r="D274" t="s">
        <v>6231</v>
      </c>
      <c r="E274" t="s">
        <v>565</v>
      </c>
      <c r="F274" t="s">
        <v>195</v>
      </c>
      <c r="G274">
        <v>6</v>
      </c>
      <c r="H274" t="s">
        <v>3184</v>
      </c>
      <c r="I274" t="s">
        <v>1945</v>
      </c>
      <c r="J274" t="s">
        <v>3188</v>
      </c>
      <c r="K274" t="s">
        <v>1938</v>
      </c>
      <c r="L274" t="s">
        <v>6211</v>
      </c>
      <c r="M274" t="s">
        <v>6215</v>
      </c>
      <c r="N274">
        <v>1</v>
      </c>
      <c r="O274">
        <v>11.95</v>
      </c>
      <c r="P274">
        <v>1.1949999999999998</v>
      </c>
      <c r="Q274">
        <v>0.71699999999999997</v>
      </c>
      <c r="R274" s="5">
        <v>71.699999999999989</v>
      </c>
    </row>
    <row r="275" spans="1:18" x14ac:dyDescent="0.25">
      <c r="A275" t="s">
        <v>566</v>
      </c>
      <c r="B275" s="7">
        <v>44681</v>
      </c>
      <c r="C275" t="str">
        <f>TEXT(Table3[[#This Row],[Order Date]],"yyyy")</f>
        <v>2022</v>
      </c>
      <c r="D275" t="s">
        <v>6236</v>
      </c>
      <c r="E275" t="s">
        <v>567</v>
      </c>
      <c r="F275" t="s">
        <v>121</v>
      </c>
      <c r="G275">
        <v>2</v>
      </c>
      <c r="H275" t="s">
        <v>3190</v>
      </c>
      <c r="I275" t="s">
        <v>6210</v>
      </c>
      <c r="J275" t="s">
        <v>2033</v>
      </c>
      <c r="K275" t="s">
        <v>1947</v>
      </c>
      <c r="L275" t="s">
        <v>6213</v>
      </c>
      <c r="M275" t="s">
        <v>6215</v>
      </c>
      <c r="N275">
        <v>0.2</v>
      </c>
      <c r="O275">
        <v>3.8849999999999998</v>
      </c>
      <c r="P275">
        <v>1.9424999999999999</v>
      </c>
      <c r="Q275">
        <v>0.34964999999999996</v>
      </c>
      <c r="R275" s="5">
        <v>7.77</v>
      </c>
    </row>
    <row r="276" spans="1:18" x14ac:dyDescent="0.25">
      <c r="A276" t="s">
        <v>568</v>
      </c>
      <c r="B276" s="7">
        <v>43985</v>
      </c>
      <c r="C276" t="str">
        <f>TEXT(Table3[[#This Row],[Order Date]],"yyyy")</f>
        <v>2020</v>
      </c>
      <c r="D276" t="s">
        <v>6229</v>
      </c>
      <c r="E276" t="s">
        <v>569</v>
      </c>
      <c r="F276" t="s">
        <v>177</v>
      </c>
      <c r="G276">
        <v>1</v>
      </c>
      <c r="H276" t="s">
        <v>3194</v>
      </c>
      <c r="I276" t="s">
        <v>6210</v>
      </c>
      <c r="J276" t="s">
        <v>2521</v>
      </c>
      <c r="K276" t="s">
        <v>1947</v>
      </c>
      <c r="L276" t="s">
        <v>6213</v>
      </c>
      <c r="M276" t="s">
        <v>6193</v>
      </c>
      <c r="N276">
        <v>2.5</v>
      </c>
      <c r="O276">
        <v>25.874999999999996</v>
      </c>
      <c r="P276">
        <v>1.0349999999999999</v>
      </c>
      <c r="Q276">
        <v>2.3287499999999994</v>
      </c>
      <c r="R276" s="5">
        <v>25.874999999999996</v>
      </c>
    </row>
    <row r="277" spans="1:18" x14ac:dyDescent="0.25">
      <c r="A277" t="s">
        <v>570</v>
      </c>
      <c r="B277" s="7">
        <v>44725</v>
      </c>
      <c r="C277" t="str">
        <f>TEXT(Table3[[#This Row],[Order Date]],"yyyy")</f>
        <v>2022</v>
      </c>
      <c r="D277" t="s">
        <v>6229</v>
      </c>
      <c r="E277" t="s">
        <v>571</v>
      </c>
      <c r="F277" t="s">
        <v>36</v>
      </c>
      <c r="G277">
        <v>6</v>
      </c>
      <c r="H277" t="s">
        <v>3198</v>
      </c>
      <c r="I277" t="s">
        <v>6210</v>
      </c>
      <c r="J277" t="s">
        <v>2207</v>
      </c>
      <c r="K277" t="s">
        <v>1947</v>
      </c>
      <c r="L277" t="s">
        <v>6212</v>
      </c>
      <c r="M277" t="s">
        <v>6215</v>
      </c>
      <c r="N277">
        <v>2.5</v>
      </c>
      <c r="O277">
        <v>34.154999999999994</v>
      </c>
      <c r="P277">
        <v>1.3661999999999999</v>
      </c>
      <c r="Q277">
        <v>3.7570499999999996</v>
      </c>
      <c r="R277" s="5">
        <v>204.92999999999995</v>
      </c>
    </row>
    <row r="278" spans="1:18" x14ac:dyDescent="0.25">
      <c r="A278" t="s">
        <v>572</v>
      </c>
      <c r="B278" s="7">
        <v>43992</v>
      </c>
      <c r="C278" t="str">
        <f>TEXT(Table3[[#This Row],[Order Date]],"yyyy")</f>
        <v>2020</v>
      </c>
      <c r="D278" t="s">
        <v>6229</v>
      </c>
      <c r="E278" t="s">
        <v>573</v>
      </c>
      <c r="F278" t="s">
        <v>16</v>
      </c>
      <c r="G278">
        <v>4</v>
      </c>
      <c r="H278" t="s">
        <v>3202</v>
      </c>
      <c r="I278" t="s">
        <v>1945</v>
      </c>
      <c r="J278" t="s">
        <v>3206</v>
      </c>
      <c r="K278" t="s">
        <v>1938</v>
      </c>
      <c r="L278" t="s">
        <v>6211</v>
      </c>
      <c r="M278" t="s">
        <v>6215</v>
      </c>
      <c r="N278">
        <v>2.5</v>
      </c>
      <c r="O278">
        <v>27.484999999999996</v>
      </c>
      <c r="P278">
        <v>1.0993999999999999</v>
      </c>
      <c r="Q278">
        <v>1.6490999999999998</v>
      </c>
      <c r="R278" s="5">
        <v>109.93999999999998</v>
      </c>
    </row>
    <row r="279" spans="1:18" x14ac:dyDescent="0.25">
      <c r="A279" t="s">
        <v>574</v>
      </c>
      <c r="B279" s="7">
        <v>44183</v>
      </c>
      <c r="C279" t="str">
        <f>TEXT(Table3[[#This Row],[Order Date]],"yyyy")</f>
        <v>2020</v>
      </c>
      <c r="D279" t="s">
        <v>6237</v>
      </c>
      <c r="E279" t="s">
        <v>575</v>
      </c>
      <c r="F279" t="s">
        <v>143</v>
      </c>
      <c r="G279">
        <v>6</v>
      </c>
      <c r="H279" t="s">
        <v>3208</v>
      </c>
      <c r="I279" t="s">
        <v>6210</v>
      </c>
      <c r="J279" t="s">
        <v>3212</v>
      </c>
      <c r="K279" t="s">
        <v>1947</v>
      </c>
      <c r="L279" t="s">
        <v>6212</v>
      </c>
      <c r="M279" t="s">
        <v>6215</v>
      </c>
      <c r="N279">
        <v>1</v>
      </c>
      <c r="O279">
        <v>14.85</v>
      </c>
      <c r="P279">
        <v>1.4849999999999999</v>
      </c>
      <c r="Q279">
        <v>1.6335</v>
      </c>
      <c r="R279" s="5">
        <v>89.1</v>
      </c>
    </row>
    <row r="280" spans="1:18" x14ac:dyDescent="0.25">
      <c r="A280" t="s">
        <v>576</v>
      </c>
      <c r="B280" s="7">
        <v>43708</v>
      </c>
      <c r="C280" t="str">
        <f>TEXT(Table3[[#This Row],[Order Date]],"yyyy")</f>
        <v>2019</v>
      </c>
      <c r="D280" t="s">
        <v>6231</v>
      </c>
      <c r="E280" t="s">
        <v>577</v>
      </c>
      <c r="F280" t="s">
        <v>121</v>
      </c>
      <c r="G280">
        <v>2</v>
      </c>
      <c r="H280" t="s">
        <v>3213</v>
      </c>
      <c r="I280" t="s">
        <v>6210</v>
      </c>
      <c r="J280" t="s">
        <v>2234</v>
      </c>
      <c r="K280" t="s">
        <v>1938</v>
      </c>
      <c r="L280" t="s">
        <v>6213</v>
      </c>
      <c r="M280" t="s">
        <v>6215</v>
      </c>
      <c r="N280">
        <v>0.2</v>
      </c>
      <c r="O280">
        <v>3.8849999999999998</v>
      </c>
      <c r="P280">
        <v>1.9424999999999999</v>
      </c>
      <c r="Q280">
        <v>0.34964999999999996</v>
      </c>
      <c r="R280" s="5">
        <v>7.77</v>
      </c>
    </row>
    <row r="281" spans="1:18" x14ac:dyDescent="0.25">
      <c r="A281" t="s">
        <v>578</v>
      </c>
      <c r="B281" s="7">
        <v>43521</v>
      </c>
      <c r="C281" t="str">
        <f>TEXT(Table3[[#This Row],[Order Date]],"yyyy")</f>
        <v>2019</v>
      </c>
      <c r="D281" t="s">
        <v>6238</v>
      </c>
      <c r="E281" t="s">
        <v>579</v>
      </c>
      <c r="F281" t="s">
        <v>203</v>
      </c>
      <c r="G281">
        <v>1</v>
      </c>
      <c r="H281" t="s">
        <v>3217</v>
      </c>
      <c r="I281" t="s">
        <v>6210</v>
      </c>
      <c r="J281" t="s">
        <v>2009</v>
      </c>
      <c r="K281" t="s">
        <v>1938</v>
      </c>
      <c r="L281" t="s">
        <v>6199</v>
      </c>
      <c r="M281" t="s">
        <v>6193</v>
      </c>
      <c r="N281">
        <v>2.5</v>
      </c>
      <c r="O281">
        <v>33.464999999999996</v>
      </c>
      <c r="P281">
        <v>1.3385999999999998</v>
      </c>
      <c r="Q281">
        <v>4.3504499999999995</v>
      </c>
      <c r="R281" s="5">
        <v>33.464999999999996</v>
      </c>
    </row>
    <row r="282" spans="1:18" x14ac:dyDescent="0.25">
      <c r="A282" t="s">
        <v>580</v>
      </c>
      <c r="B282" s="7">
        <v>44234</v>
      </c>
      <c r="C282" t="str">
        <f>TEXT(Table3[[#This Row],[Order Date]],"yyyy")</f>
        <v>2021</v>
      </c>
      <c r="D282" t="s">
        <v>6238</v>
      </c>
      <c r="E282" t="s">
        <v>581</v>
      </c>
      <c r="F282" t="s">
        <v>9</v>
      </c>
      <c r="G282">
        <v>5</v>
      </c>
      <c r="H282" t="s">
        <v>3221</v>
      </c>
      <c r="I282" t="s">
        <v>6210</v>
      </c>
      <c r="J282" t="s">
        <v>2018</v>
      </c>
      <c r="K282" t="s">
        <v>1938</v>
      </c>
      <c r="L282" t="s">
        <v>6212</v>
      </c>
      <c r="M282" t="s">
        <v>6193</v>
      </c>
      <c r="N282">
        <v>0.5</v>
      </c>
      <c r="O282">
        <v>8.25</v>
      </c>
      <c r="P282">
        <v>1.65</v>
      </c>
      <c r="Q282">
        <v>0.90749999999999997</v>
      </c>
      <c r="R282" s="5">
        <v>41.25</v>
      </c>
    </row>
    <row r="283" spans="1:18" x14ac:dyDescent="0.25">
      <c r="A283" t="s">
        <v>582</v>
      </c>
      <c r="B283" s="7">
        <v>44210</v>
      </c>
      <c r="C283" t="str">
        <f>TEXT(Table3[[#This Row],[Order Date]],"yyyy")</f>
        <v>2021</v>
      </c>
      <c r="D283" t="s">
        <v>6232</v>
      </c>
      <c r="E283" t="s">
        <v>583</v>
      </c>
      <c r="F283" t="s">
        <v>143</v>
      </c>
      <c r="G283">
        <v>4</v>
      </c>
      <c r="H283" t="s">
        <v>3224</v>
      </c>
      <c r="I283" t="s">
        <v>6210</v>
      </c>
      <c r="J283" t="s">
        <v>3228</v>
      </c>
      <c r="K283" t="s">
        <v>1938</v>
      </c>
      <c r="L283" t="s">
        <v>6212</v>
      </c>
      <c r="M283" t="s">
        <v>6215</v>
      </c>
      <c r="N283">
        <v>1</v>
      </c>
      <c r="O283">
        <v>14.85</v>
      </c>
      <c r="P283">
        <v>1.4849999999999999</v>
      </c>
      <c r="Q283">
        <v>1.6335</v>
      </c>
      <c r="R283" s="5">
        <v>59.4</v>
      </c>
    </row>
    <row r="284" spans="1:18" x14ac:dyDescent="0.25">
      <c r="A284" t="s">
        <v>584</v>
      </c>
      <c r="B284" s="7">
        <v>43520</v>
      </c>
      <c r="C284" t="str">
        <f>TEXT(Table3[[#This Row],[Order Date]],"yyyy")</f>
        <v>2019</v>
      </c>
      <c r="D284" t="s">
        <v>6238</v>
      </c>
      <c r="E284" t="s">
        <v>585</v>
      </c>
      <c r="F284" t="s">
        <v>198</v>
      </c>
      <c r="G284">
        <v>1</v>
      </c>
      <c r="H284" t="s">
        <v>3229</v>
      </c>
      <c r="I284" t="s">
        <v>2112</v>
      </c>
      <c r="J284" t="s">
        <v>3233</v>
      </c>
      <c r="K284" t="s">
        <v>1947</v>
      </c>
      <c r="L284" t="s">
        <v>6213</v>
      </c>
      <c r="M284" t="s">
        <v>6215</v>
      </c>
      <c r="N284">
        <v>0.5</v>
      </c>
      <c r="O284">
        <v>7.77</v>
      </c>
      <c r="P284">
        <v>1.5539999999999998</v>
      </c>
      <c r="Q284">
        <v>0.69929999999999992</v>
      </c>
      <c r="R284" s="5">
        <v>7.77</v>
      </c>
    </row>
    <row r="285" spans="1:18" x14ac:dyDescent="0.25">
      <c r="A285" t="s">
        <v>586</v>
      </c>
      <c r="B285" s="7">
        <v>43639</v>
      </c>
      <c r="C285" t="str">
        <f>TEXT(Table3[[#This Row],[Order Date]],"yyyy")</f>
        <v>2019</v>
      </c>
      <c r="D285" t="s">
        <v>6229</v>
      </c>
      <c r="E285" t="s">
        <v>587</v>
      </c>
      <c r="F285" t="s">
        <v>152</v>
      </c>
      <c r="G285">
        <v>1</v>
      </c>
      <c r="H285" t="s">
        <v>3235</v>
      </c>
      <c r="I285" t="s">
        <v>2112</v>
      </c>
      <c r="J285" t="s">
        <v>3129</v>
      </c>
      <c r="K285" t="s">
        <v>1938</v>
      </c>
      <c r="L285" t="s">
        <v>6211</v>
      </c>
      <c r="M285" t="s">
        <v>6195</v>
      </c>
      <c r="N285">
        <v>0.5</v>
      </c>
      <c r="O285">
        <v>5.3699999999999992</v>
      </c>
      <c r="P285">
        <v>1.0739999999999998</v>
      </c>
      <c r="Q285">
        <v>0.32219999999999993</v>
      </c>
      <c r="R285" s="5">
        <v>5.3699999999999992</v>
      </c>
    </row>
    <row r="286" spans="1:18" x14ac:dyDescent="0.25">
      <c r="A286" t="s">
        <v>588</v>
      </c>
      <c r="B286" s="7">
        <v>43960</v>
      </c>
      <c r="C286" t="str">
        <f>TEXT(Table3[[#This Row],[Order Date]],"yyyy")</f>
        <v>2020</v>
      </c>
      <c r="D286" t="s">
        <v>6233</v>
      </c>
      <c r="E286" t="s">
        <v>589</v>
      </c>
      <c r="F286" t="s">
        <v>118</v>
      </c>
      <c r="G286">
        <v>3</v>
      </c>
      <c r="H286" t="s">
        <v>3239</v>
      </c>
      <c r="I286" t="s">
        <v>6210</v>
      </c>
      <c r="J286" t="s">
        <v>3242</v>
      </c>
      <c r="K286" t="s">
        <v>1947</v>
      </c>
      <c r="L286" t="s">
        <v>6212</v>
      </c>
      <c r="M286" t="s">
        <v>6193</v>
      </c>
      <c r="N286">
        <v>2.5</v>
      </c>
      <c r="O286">
        <v>31.624999999999996</v>
      </c>
      <c r="P286">
        <v>1.2649999999999999</v>
      </c>
      <c r="Q286">
        <v>3.4787499999999998</v>
      </c>
      <c r="R286" s="5">
        <v>94.874999999999986</v>
      </c>
    </row>
    <row r="287" spans="1:18" x14ac:dyDescent="0.25">
      <c r="A287" t="s">
        <v>590</v>
      </c>
      <c r="B287" s="7">
        <v>44030</v>
      </c>
      <c r="C287" t="str">
        <f>TEXT(Table3[[#This Row],[Order Date]],"yyyy")</f>
        <v>2020</v>
      </c>
      <c r="D287" t="s">
        <v>6230</v>
      </c>
      <c r="E287" t="s">
        <v>591</v>
      </c>
      <c r="F287" t="s">
        <v>110</v>
      </c>
      <c r="G287">
        <v>1</v>
      </c>
      <c r="H287" t="s">
        <v>3243</v>
      </c>
      <c r="I287" t="s">
        <v>6210</v>
      </c>
      <c r="J287" t="s">
        <v>2346</v>
      </c>
      <c r="K287" t="s">
        <v>1947</v>
      </c>
      <c r="L287" t="s">
        <v>6199</v>
      </c>
      <c r="M287" t="s">
        <v>6215</v>
      </c>
      <c r="N287">
        <v>2.5</v>
      </c>
      <c r="O287">
        <v>36.454999999999998</v>
      </c>
      <c r="P287">
        <v>1.4581999999999999</v>
      </c>
      <c r="Q287">
        <v>4.7391499999999995</v>
      </c>
      <c r="R287" s="5">
        <v>36.454999999999998</v>
      </c>
    </row>
    <row r="288" spans="1:18" x14ac:dyDescent="0.25">
      <c r="A288" t="s">
        <v>592</v>
      </c>
      <c r="B288" s="7">
        <v>43755</v>
      </c>
      <c r="C288" t="str">
        <f>TEXT(Table3[[#This Row],[Order Date]],"yyyy")</f>
        <v>2019</v>
      </c>
      <c r="D288" t="s">
        <v>6235</v>
      </c>
      <c r="E288" t="s">
        <v>593</v>
      </c>
      <c r="F288" t="s">
        <v>50</v>
      </c>
      <c r="G288">
        <v>4</v>
      </c>
      <c r="H288" t="s">
        <v>3246</v>
      </c>
      <c r="I288" t="s">
        <v>6210</v>
      </c>
      <c r="J288" t="s">
        <v>3249</v>
      </c>
      <c r="K288" t="s">
        <v>1938</v>
      </c>
      <c r="L288" t="s">
        <v>6213</v>
      </c>
      <c r="M288" t="s">
        <v>6193</v>
      </c>
      <c r="N288">
        <v>0.2</v>
      </c>
      <c r="O288">
        <v>3.375</v>
      </c>
      <c r="P288">
        <v>1.6875</v>
      </c>
      <c r="Q288">
        <v>0.30374999999999996</v>
      </c>
      <c r="R288" s="5">
        <v>13.5</v>
      </c>
    </row>
    <row r="289" spans="1:18" x14ac:dyDescent="0.25">
      <c r="A289" t="s">
        <v>594</v>
      </c>
      <c r="B289" s="7">
        <v>44697</v>
      </c>
      <c r="C289" t="str">
        <f>TEXT(Table3[[#This Row],[Order Date]],"yyyy")</f>
        <v>2022</v>
      </c>
      <c r="D289" t="s">
        <v>6233</v>
      </c>
      <c r="E289" t="s">
        <v>595</v>
      </c>
      <c r="F289" t="s">
        <v>188</v>
      </c>
      <c r="G289">
        <v>4</v>
      </c>
      <c r="H289" t="s">
        <v>3250</v>
      </c>
      <c r="I289" t="s">
        <v>6210</v>
      </c>
      <c r="J289" t="s">
        <v>2154</v>
      </c>
      <c r="K289" t="s">
        <v>1947</v>
      </c>
      <c r="L289" t="s">
        <v>6211</v>
      </c>
      <c r="M289" t="s">
        <v>6215</v>
      </c>
      <c r="N289">
        <v>0.2</v>
      </c>
      <c r="O289">
        <v>3.5849999999999995</v>
      </c>
      <c r="P289">
        <v>1.7924999999999998</v>
      </c>
      <c r="Q289">
        <v>0.21509999999999996</v>
      </c>
      <c r="R289" s="5">
        <v>14.339999999999998</v>
      </c>
    </row>
    <row r="290" spans="1:18" x14ac:dyDescent="0.25">
      <c r="A290" t="s">
        <v>596</v>
      </c>
      <c r="B290" s="7">
        <v>44279</v>
      </c>
      <c r="C290" t="str">
        <f>TEXT(Table3[[#This Row],[Order Date]],"yyyy")</f>
        <v>2021</v>
      </c>
      <c r="D290" t="s">
        <v>6234</v>
      </c>
      <c r="E290" t="s">
        <v>597</v>
      </c>
      <c r="F290" t="s">
        <v>9</v>
      </c>
      <c r="G290">
        <v>1</v>
      </c>
      <c r="H290" t="s">
        <v>3254</v>
      </c>
      <c r="I290" t="s">
        <v>1945</v>
      </c>
      <c r="J290" t="s">
        <v>3257</v>
      </c>
      <c r="K290" t="s">
        <v>1938</v>
      </c>
      <c r="L290" t="s">
        <v>6212</v>
      </c>
      <c r="M290" t="s">
        <v>6193</v>
      </c>
      <c r="N290">
        <v>0.5</v>
      </c>
      <c r="O290">
        <v>8.25</v>
      </c>
      <c r="P290">
        <v>1.65</v>
      </c>
      <c r="Q290">
        <v>0.90749999999999997</v>
      </c>
      <c r="R290" s="5">
        <v>8.25</v>
      </c>
    </row>
    <row r="291" spans="1:18" x14ac:dyDescent="0.25">
      <c r="A291" t="s">
        <v>598</v>
      </c>
      <c r="B291" s="7">
        <v>43772</v>
      </c>
      <c r="C291" t="str">
        <f>TEXT(Table3[[#This Row],[Order Date]],"yyyy")</f>
        <v>2019</v>
      </c>
      <c r="D291" t="s">
        <v>6239</v>
      </c>
      <c r="E291" t="s">
        <v>599</v>
      </c>
      <c r="F291" t="s">
        <v>107</v>
      </c>
      <c r="G291">
        <v>5</v>
      </c>
      <c r="H291" t="s">
        <v>3259</v>
      </c>
      <c r="I291" t="s">
        <v>6210</v>
      </c>
      <c r="J291" t="s">
        <v>3261</v>
      </c>
      <c r="K291" t="s">
        <v>1938</v>
      </c>
      <c r="L291" t="s">
        <v>6211</v>
      </c>
      <c r="M291" t="s">
        <v>6195</v>
      </c>
      <c r="N291">
        <v>0.2</v>
      </c>
      <c r="O291">
        <v>2.6849999999999996</v>
      </c>
      <c r="P291">
        <v>1.3424999999999998</v>
      </c>
      <c r="Q291">
        <v>0.16109999999999997</v>
      </c>
      <c r="R291" s="5">
        <v>13.424999999999997</v>
      </c>
    </row>
    <row r="292" spans="1:18" x14ac:dyDescent="0.25">
      <c r="A292" t="s">
        <v>600</v>
      </c>
      <c r="B292" s="7">
        <v>44497</v>
      </c>
      <c r="C292" t="str">
        <f>TEXT(Table3[[#This Row],[Order Date]],"yyyy")</f>
        <v>2021</v>
      </c>
      <c r="D292" t="s">
        <v>6235</v>
      </c>
      <c r="E292" t="s">
        <v>601</v>
      </c>
      <c r="F292" t="s">
        <v>33</v>
      </c>
      <c r="G292">
        <v>5</v>
      </c>
      <c r="H292" t="s">
        <v>3262</v>
      </c>
      <c r="I292" t="s">
        <v>6210</v>
      </c>
      <c r="J292" t="s">
        <v>1982</v>
      </c>
      <c r="K292" t="s">
        <v>1947</v>
      </c>
      <c r="L292" t="s">
        <v>6213</v>
      </c>
      <c r="M292" t="s">
        <v>6195</v>
      </c>
      <c r="N292">
        <v>1</v>
      </c>
      <c r="O292">
        <v>9.9499999999999993</v>
      </c>
      <c r="P292">
        <v>0.99499999999999988</v>
      </c>
      <c r="Q292">
        <v>0.89549999999999985</v>
      </c>
      <c r="R292" s="5">
        <v>49.75</v>
      </c>
    </row>
    <row r="293" spans="1:18" x14ac:dyDescent="0.25">
      <c r="A293" t="s">
        <v>602</v>
      </c>
      <c r="B293" s="7">
        <v>44181</v>
      </c>
      <c r="C293" t="str">
        <f>TEXT(Table3[[#This Row],[Order Date]],"yyyy")</f>
        <v>2020</v>
      </c>
      <c r="D293" t="s">
        <v>6237</v>
      </c>
      <c r="E293" t="s">
        <v>603</v>
      </c>
      <c r="F293" t="s">
        <v>9</v>
      </c>
      <c r="G293">
        <v>2</v>
      </c>
      <c r="H293" t="s">
        <v>3266</v>
      </c>
      <c r="I293" t="s">
        <v>1945</v>
      </c>
      <c r="J293" t="s">
        <v>2531</v>
      </c>
      <c r="K293" t="s">
        <v>1947</v>
      </c>
      <c r="L293" t="s">
        <v>6212</v>
      </c>
      <c r="M293" t="s">
        <v>6193</v>
      </c>
      <c r="N293">
        <v>0.5</v>
      </c>
      <c r="O293">
        <v>8.25</v>
      </c>
      <c r="P293">
        <v>1.65</v>
      </c>
      <c r="Q293">
        <v>0.90749999999999997</v>
      </c>
      <c r="R293" s="5">
        <v>16.5</v>
      </c>
    </row>
    <row r="294" spans="1:18" x14ac:dyDescent="0.25">
      <c r="A294" t="s">
        <v>604</v>
      </c>
      <c r="B294" s="7">
        <v>44529</v>
      </c>
      <c r="C294" t="str">
        <f>TEXT(Table3[[#This Row],[Order Date]],"yyyy")</f>
        <v>2021</v>
      </c>
      <c r="D294" t="s">
        <v>6239</v>
      </c>
      <c r="E294" t="s">
        <v>605</v>
      </c>
      <c r="F294" t="s">
        <v>78</v>
      </c>
      <c r="G294">
        <v>3</v>
      </c>
      <c r="H294" t="s">
        <v>3268</v>
      </c>
      <c r="I294" t="s">
        <v>6210</v>
      </c>
      <c r="J294" t="s">
        <v>2168</v>
      </c>
      <c r="K294" t="s">
        <v>1947</v>
      </c>
      <c r="L294" t="s">
        <v>6213</v>
      </c>
      <c r="M294" t="s">
        <v>6195</v>
      </c>
      <c r="N294">
        <v>0.5</v>
      </c>
      <c r="O294">
        <v>5.97</v>
      </c>
      <c r="P294">
        <v>1.194</v>
      </c>
      <c r="Q294">
        <v>0.5373</v>
      </c>
      <c r="R294" s="5">
        <v>17.91</v>
      </c>
    </row>
    <row r="295" spans="1:18" x14ac:dyDescent="0.25">
      <c r="A295" t="s">
        <v>606</v>
      </c>
      <c r="B295" s="7">
        <v>44275</v>
      </c>
      <c r="C295" t="str">
        <f>TEXT(Table3[[#This Row],[Order Date]],"yyyy")</f>
        <v>2021</v>
      </c>
      <c r="D295" t="s">
        <v>6234</v>
      </c>
      <c r="E295" t="s">
        <v>607</v>
      </c>
      <c r="F295" t="s">
        <v>78</v>
      </c>
      <c r="G295">
        <v>5</v>
      </c>
      <c r="H295" t="s">
        <v>3271</v>
      </c>
      <c r="I295" t="s">
        <v>6210</v>
      </c>
      <c r="J295" t="s">
        <v>2695</v>
      </c>
      <c r="K295" t="s">
        <v>1947</v>
      </c>
      <c r="L295" t="s">
        <v>6213</v>
      </c>
      <c r="M295" t="s">
        <v>6195</v>
      </c>
      <c r="N295">
        <v>0.5</v>
      </c>
      <c r="O295">
        <v>5.97</v>
      </c>
      <c r="P295">
        <v>1.194</v>
      </c>
      <c r="Q295">
        <v>0.5373</v>
      </c>
      <c r="R295" s="5">
        <v>29.849999999999998</v>
      </c>
    </row>
    <row r="296" spans="1:18" x14ac:dyDescent="0.25">
      <c r="A296" t="s">
        <v>608</v>
      </c>
      <c r="B296" s="7">
        <v>44659</v>
      </c>
      <c r="C296" t="str">
        <f>TEXT(Table3[[#This Row],[Order Date]],"yyyy")</f>
        <v>2022</v>
      </c>
      <c r="D296" t="s">
        <v>6236</v>
      </c>
      <c r="E296" t="s">
        <v>609</v>
      </c>
      <c r="F296" t="s">
        <v>143</v>
      </c>
      <c r="G296">
        <v>3</v>
      </c>
      <c r="H296" t="s">
        <v>3275</v>
      </c>
      <c r="I296" t="s">
        <v>6210</v>
      </c>
      <c r="J296" t="s">
        <v>3278</v>
      </c>
      <c r="K296" t="s">
        <v>1947</v>
      </c>
      <c r="L296" t="s">
        <v>6212</v>
      </c>
      <c r="M296" t="s">
        <v>6215</v>
      </c>
      <c r="N296">
        <v>1</v>
      </c>
      <c r="O296">
        <v>14.85</v>
      </c>
      <c r="P296">
        <v>1.4849999999999999</v>
      </c>
      <c r="Q296">
        <v>1.6335</v>
      </c>
      <c r="R296" s="5">
        <v>44.55</v>
      </c>
    </row>
    <row r="297" spans="1:18" x14ac:dyDescent="0.25">
      <c r="A297" t="s">
        <v>610</v>
      </c>
      <c r="B297" s="7">
        <v>44057</v>
      </c>
      <c r="C297" t="str">
        <f>TEXT(Table3[[#This Row],[Order Date]],"yyyy")</f>
        <v>2020</v>
      </c>
      <c r="D297" t="s">
        <v>6231</v>
      </c>
      <c r="E297" t="s">
        <v>611</v>
      </c>
      <c r="F297" t="s">
        <v>15</v>
      </c>
      <c r="G297">
        <v>2</v>
      </c>
      <c r="H297" t="s">
        <v>3279</v>
      </c>
      <c r="I297" t="s">
        <v>6210</v>
      </c>
      <c r="J297" t="s">
        <v>2876</v>
      </c>
      <c r="K297" t="s">
        <v>1947</v>
      </c>
      <c r="L297" t="s">
        <v>6212</v>
      </c>
      <c r="M297" t="s">
        <v>6193</v>
      </c>
      <c r="N297">
        <v>1</v>
      </c>
      <c r="O297">
        <v>13.75</v>
      </c>
      <c r="P297">
        <v>1.375</v>
      </c>
      <c r="Q297">
        <v>1.5125</v>
      </c>
      <c r="R297" s="5">
        <v>27.5</v>
      </c>
    </row>
    <row r="298" spans="1:18" x14ac:dyDescent="0.25">
      <c r="A298" t="s">
        <v>612</v>
      </c>
      <c r="B298" s="7">
        <v>43597</v>
      </c>
      <c r="C298" t="str">
        <f>TEXT(Table3[[#This Row],[Order Date]],"yyyy")</f>
        <v>2019</v>
      </c>
      <c r="D298" t="s">
        <v>6233</v>
      </c>
      <c r="E298" t="s">
        <v>613</v>
      </c>
      <c r="F298" t="s">
        <v>28</v>
      </c>
      <c r="G298">
        <v>6</v>
      </c>
      <c r="H298" t="s">
        <v>3281</v>
      </c>
      <c r="I298" t="s">
        <v>6210</v>
      </c>
      <c r="J298" t="s">
        <v>2243</v>
      </c>
      <c r="K298" t="s">
        <v>1938</v>
      </c>
      <c r="L298" t="s">
        <v>6211</v>
      </c>
      <c r="M298" t="s">
        <v>6193</v>
      </c>
      <c r="N298">
        <v>0.5</v>
      </c>
      <c r="O298">
        <v>5.97</v>
      </c>
      <c r="P298">
        <v>1.194</v>
      </c>
      <c r="Q298">
        <v>0.35819999999999996</v>
      </c>
      <c r="R298" s="5">
        <v>35.82</v>
      </c>
    </row>
    <row r="299" spans="1:18" x14ac:dyDescent="0.25">
      <c r="A299" t="s">
        <v>614</v>
      </c>
      <c r="B299" s="7">
        <v>44258</v>
      </c>
      <c r="C299" t="str">
        <f>TEXT(Table3[[#This Row],[Order Date]],"yyyy")</f>
        <v>2021</v>
      </c>
      <c r="D299" t="s">
        <v>6234</v>
      </c>
      <c r="E299" t="s">
        <v>615</v>
      </c>
      <c r="F299" t="s">
        <v>152</v>
      </c>
      <c r="G299">
        <v>3</v>
      </c>
      <c r="H299" t="s">
        <v>3285</v>
      </c>
      <c r="I299" t="s">
        <v>6210</v>
      </c>
      <c r="J299" t="s">
        <v>3289</v>
      </c>
      <c r="K299" t="s">
        <v>1938</v>
      </c>
      <c r="L299" t="s">
        <v>6211</v>
      </c>
      <c r="M299" t="s">
        <v>6195</v>
      </c>
      <c r="N299">
        <v>0.5</v>
      </c>
      <c r="O299">
        <v>5.3699999999999992</v>
      </c>
      <c r="P299">
        <v>1.0739999999999998</v>
      </c>
      <c r="Q299">
        <v>0.32219999999999993</v>
      </c>
      <c r="R299" s="5">
        <v>16.11</v>
      </c>
    </row>
    <row r="300" spans="1:18" x14ac:dyDescent="0.25">
      <c r="A300" t="s">
        <v>616</v>
      </c>
      <c r="B300" s="7">
        <v>43872</v>
      </c>
      <c r="C300" t="str">
        <f>TEXT(Table3[[#This Row],[Order Date]],"yyyy")</f>
        <v>2020</v>
      </c>
      <c r="D300" t="s">
        <v>6238</v>
      </c>
      <c r="E300" t="s">
        <v>617</v>
      </c>
      <c r="F300" t="s">
        <v>260</v>
      </c>
      <c r="G300">
        <v>6</v>
      </c>
      <c r="H300" t="s">
        <v>3290</v>
      </c>
      <c r="I300" t="s">
        <v>6210</v>
      </c>
      <c r="J300" t="s">
        <v>3044</v>
      </c>
      <c r="K300" t="s">
        <v>1938</v>
      </c>
      <c r="L300" t="s">
        <v>6212</v>
      </c>
      <c r="M300" t="s">
        <v>6215</v>
      </c>
      <c r="N300">
        <v>0.2</v>
      </c>
      <c r="O300">
        <v>4.4550000000000001</v>
      </c>
      <c r="P300">
        <v>2.2275</v>
      </c>
      <c r="Q300">
        <v>0.49004999999999999</v>
      </c>
      <c r="R300" s="5">
        <v>26.73</v>
      </c>
    </row>
    <row r="301" spans="1:18" x14ac:dyDescent="0.25">
      <c r="A301" t="s">
        <v>618</v>
      </c>
      <c r="B301" s="7">
        <v>43582</v>
      </c>
      <c r="C301" t="str">
        <f>TEXT(Table3[[#This Row],[Order Date]],"yyyy")</f>
        <v>2019</v>
      </c>
      <c r="D301" t="s">
        <v>6236</v>
      </c>
      <c r="E301" t="s">
        <v>619</v>
      </c>
      <c r="F301" t="s">
        <v>36</v>
      </c>
      <c r="G301">
        <v>6</v>
      </c>
      <c r="H301" t="s">
        <v>3294</v>
      </c>
      <c r="I301" t="s">
        <v>6210</v>
      </c>
      <c r="J301" t="s">
        <v>3298</v>
      </c>
      <c r="K301" t="s">
        <v>1938</v>
      </c>
      <c r="L301" t="s">
        <v>6212</v>
      </c>
      <c r="M301" t="s">
        <v>6215</v>
      </c>
      <c r="N301">
        <v>2.5</v>
      </c>
      <c r="O301">
        <v>34.154999999999994</v>
      </c>
      <c r="P301">
        <v>1.3661999999999999</v>
      </c>
      <c r="Q301">
        <v>3.7570499999999996</v>
      </c>
      <c r="R301" s="5">
        <v>204.92999999999995</v>
      </c>
    </row>
    <row r="302" spans="1:18" x14ac:dyDescent="0.25">
      <c r="A302" t="s">
        <v>620</v>
      </c>
      <c r="B302" s="7">
        <v>44646</v>
      </c>
      <c r="C302" t="str">
        <f>TEXT(Table3[[#This Row],[Order Date]],"yyyy")</f>
        <v>2022</v>
      </c>
      <c r="D302" t="s">
        <v>6234</v>
      </c>
      <c r="E302" t="s">
        <v>621</v>
      </c>
      <c r="F302" t="s">
        <v>12</v>
      </c>
      <c r="G302">
        <v>3</v>
      </c>
      <c r="H302" t="s">
        <v>3299</v>
      </c>
      <c r="I302" t="s">
        <v>6210</v>
      </c>
      <c r="J302" t="s">
        <v>2588</v>
      </c>
      <c r="K302" t="s">
        <v>1938</v>
      </c>
      <c r="L302" t="s">
        <v>6213</v>
      </c>
      <c r="M302" t="s">
        <v>6215</v>
      </c>
      <c r="N302">
        <v>1</v>
      </c>
      <c r="O302">
        <v>12.95</v>
      </c>
      <c r="P302">
        <v>1.2949999999999999</v>
      </c>
      <c r="Q302">
        <v>1.1655</v>
      </c>
      <c r="R302" s="5">
        <v>38.849999999999994</v>
      </c>
    </row>
    <row r="303" spans="1:18" x14ac:dyDescent="0.25">
      <c r="A303" t="s">
        <v>622</v>
      </c>
      <c r="B303" s="7">
        <v>44102</v>
      </c>
      <c r="C303" t="str">
        <f>TEXT(Table3[[#This Row],[Order Date]],"yyyy")</f>
        <v>2020</v>
      </c>
      <c r="D303" t="s">
        <v>6228</v>
      </c>
      <c r="E303" t="s">
        <v>623</v>
      </c>
      <c r="F303" t="s">
        <v>44</v>
      </c>
      <c r="G303">
        <v>4</v>
      </c>
      <c r="H303" t="s">
        <v>3303</v>
      </c>
      <c r="I303" t="s">
        <v>6210</v>
      </c>
      <c r="J303" t="s">
        <v>2383</v>
      </c>
      <c r="K303" t="s">
        <v>1938</v>
      </c>
      <c r="L303" t="s">
        <v>6199</v>
      </c>
      <c r="M303" t="s">
        <v>6195</v>
      </c>
      <c r="N303">
        <v>0.2</v>
      </c>
      <c r="O303">
        <v>3.8849999999999998</v>
      </c>
      <c r="P303">
        <v>1.9424999999999999</v>
      </c>
      <c r="Q303">
        <v>0.50505</v>
      </c>
      <c r="R303" s="5">
        <v>15.54</v>
      </c>
    </row>
    <row r="304" spans="1:18" x14ac:dyDescent="0.25">
      <c r="A304" t="s">
        <v>624</v>
      </c>
      <c r="B304" s="7">
        <v>43762</v>
      </c>
      <c r="C304" t="str">
        <f>TEXT(Table3[[#This Row],[Order Date]],"yyyy")</f>
        <v>2019</v>
      </c>
      <c r="D304" t="s">
        <v>6235</v>
      </c>
      <c r="E304" t="s">
        <v>625</v>
      </c>
      <c r="F304" t="s">
        <v>73</v>
      </c>
      <c r="G304">
        <v>1</v>
      </c>
      <c r="H304" t="s">
        <v>3307</v>
      </c>
      <c r="I304" t="s">
        <v>6210</v>
      </c>
      <c r="J304" t="s">
        <v>3311</v>
      </c>
      <c r="K304" t="s">
        <v>1947</v>
      </c>
      <c r="L304" t="s">
        <v>6213</v>
      </c>
      <c r="M304" t="s">
        <v>6193</v>
      </c>
      <c r="N304">
        <v>0.5</v>
      </c>
      <c r="O304">
        <v>6.75</v>
      </c>
      <c r="P304">
        <v>1.35</v>
      </c>
      <c r="Q304">
        <v>0.60749999999999993</v>
      </c>
      <c r="R304" s="5">
        <v>6.75</v>
      </c>
    </row>
    <row r="305" spans="1:18" x14ac:dyDescent="0.25">
      <c r="A305" t="s">
        <v>626</v>
      </c>
      <c r="B305" s="7">
        <v>44412</v>
      </c>
      <c r="C305" t="str">
        <f>TEXT(Table3[[#This Row],[Order Date]],"yyyy")</f>
        <v>2021</v>
      </c>
      <c r="D305" t="s">
        <v>6231</v>
      </c>
      <c r="E305" t="s">
        <v>627</v>
      </c>
      <c r="F305" t="s">
        <v>536</v>
      </c>
      <c r="G305">
        <v>4</v>
      </c>
      <c r="H305" t="s">
        <v>3312</v>
      </c>
      <c r="I305" t="s">
        <v>6210</v>
      </c>
      <c r="J305" t="s">
        <v>3315</v>
      </c>
      <c r="K305" t="s">
        <v>1938</v>
      </c>
      <c r="L305" t="s">
        <v>6212</v>
      </c>
      <c r="M305" t="s">
        <v>6195</v>
      </c>
      <c r="N305">
        <v>2.5</v>
      </c>
      <c r="O305">
        <v>27.945</v>
      </c>
      <c r="P305">
        <v>1.1177999999999999</v>
      </c>
      <c r="Q305">
        <v>3.07395</v>
      </c>
      <c r="R305" s="5">
        <v>111.78</v>
      </c>
    </row>
    <row r="306" spans="1:18" x14ac:dyDescent="0.25">
      <c r="A306" t="s">
        <v>628</v>
      </c>
      <c r="B306" s="7">
        <v>43828</v>
      </c>
      <c r="C306" t="str">
        <f>TEXT(Table3[[#This Row],[Order Date]],"yyyy")</f>
        <v>2019</v>
      </c>
      <c r="D306" t="s">
        <v>6237</v>
      </c>
      <c r="E306" t="s">
        <v>629</v>
      </c>
      <c r="F306" t="s">
        <v>121</v>
      </c>
      <c r="G306">
        <v>1</v>
      </c>
      <c r="H306" t="s">
        <v>3348</v>
      </c>
      <c r="I306" t="s">
        <v>6210</v>
      </c>
      <c r="J306" t="s">
        <v>2296</v>
      </c>
      <c r="K306" t="s">
        <v>1938</v>
      </c>
      <c r="L306" t="s">
        <v>6213</v>
      </c>
      <c r="M306" t="s">
        <v>6215</v>
      </c>
      <c r="N306">
        <v>0.2</v>
      </c>
      <c r="O306">
        <v>3.8849999999999998</v>
      </c>
      <c r="P306">
        <v>1.9424999999999999</v>
      </c>
      <c r="Q306">
        <v>0.34964999999999996</v>
      </c>
      <c r="R306" s="5">
        <v>3.8849999999999998</v>
      </c>
    </row>
    <row r="307" spans="1:18" x14ac:dyDescent="0.25">
      <c r="A307" t="s">
        <v>630</v>
      </c>
      <c r="B307" s="7">
        <v>43796</v>
      </c>
      <c r="C307" t="str">
        <f>TEXT(Table3[[#This Row],[Order Date]],"yyyy")</f>
        <v>2019</v>
      </c>
      <c r="D307" t="s">
        <v>6239</v>
      </c>
      <c r="E307" t="s">
        <v>631</v>
      </c>
      <c r="F307" t="s">
        <v>83</v>
      </c>
      <c r="G307">
        <v>5</v>
      </c>
      <c r="H307" t="s">
        <v>3321</v>
      </c>
      <c r="I307" t="s">
        <v>2112</v>
      </c>
      <c r="J307" t="s">
        <v>3325</v>
      </c>
      <c r="K307" t="s">
        <v>1947</v>
      </c>
      <c r="L307" t="s">
        <v>6199</v>
      </c>
      <c r="M307" t="s">
        <v>6193</v>
      </c>
      <c r="N307">
        <v>0.2</v>
      </c>
      <c r="O307">
        <v>4.3650000000000002</v>
      </c>
      <c r="P307">
        <v>2.1825000000000001</v>
      </c>
      <c r="Q307">
        <v>0.56745000000000001</v>
      </c>
      <c r="R307" s="5">
        <v>21.825000000000003</v>
      </c>
    </row>
    <row r="308" spans="1:18" x14ac:dyDescent="0.25">
      <c r="A308" t="s">
        <v>632</v>
      </c>
      <c r="B308" s="7">
        <v>43890</v>
      </c>
      <c r="C308" t="str">
        <f>TEXT(Table3[[#This Row],[Order Date]],"yyyy")</f>
        <v>2020</v>
      </c>
      <c r="D308" t="s">
        <v>6238</v>
      </c>
      <c r="E308" t="s">
        <v>633</v>
      </c>
      <c r="F308" t="s">
        <v>168</v>
      </c>
      <c r="G308">
        <v>5</v>
      </c>
      <c r="H308" t="s">
        <v>3327</v>
      </c>
      <c r="I308" t="s">
        <v>6210</v>
      </c>
      <c r="J308" t="s">
        <v>3331</v>
      </c>
      <c r="K308" t="s">
        <v>1947</v>
      </c>
      <c r="L308" t="s">
        <v>6211</v>
      </c>
      <c r="M308" t="s">
        <v>6193</v>
      </c>
      <c r="N308">
        <v>0.2</v>
      </c>
      <c r="O308">
        <v>2.9849999999999999</v>
      </c>
      <c r="P308">
        <v>1.4924999999999999</v>
      </c>
      <c r="Q308">
        <v>0.17909999999999998</v>
      </c>
      <c r="R308" s="5">
        <v>14.924999999999999</v>
      </c>
    </row>
    <row r="309" spans="1:18" x14ac:dyDescent="0.25">
      <c r="A309" t="s">
        <v>634</v>
      </c>
      <c r="B309" s="7">
        <v>44227</v>
      </c>
      <c r="C309" t="str">
        <f>TEXT(Table3[[#This Row],[Order Date]],"yyyy")</f>
        <v>2021</v>
      </c>
      <c r="D309" t="s">
        <v>6232</v>
      </c>
      <c r="E309" t="s">
        <v>635</v>
      </c>
      <c r="F309" t="s">
        <v>67</v>
      </c>
      <c r="G309">
        <v>3</v>
      </c>
      <c r="H309" t="s">
        <v>3332</v>
      </c>
      <c r="I309" t="s">
        <v>6210</v>
      </c>
      <c r="J309" t="s">
        <v>3032</v>
      </c>
      <c r="K309" t="s">
        <v>1938</v>
      </c>
      <c r="L309" t="s">
        <v>6213</v>
      </c>
      <c r="M309" t="s">
        <v>6193</v>
      </c>
      <c r="N309">
        <v>1</v>
      </c>
      <c r="O309">
        <v>11.25</v>
      </c>
      <c r="P309">
        <v>1.125</v>
      </c>
      <c r="Q309">
        <v>1.0125</v>
      </c>
      <c r="R309" s="5">
        <v>33.75</v>
      </c>
    </row>
    <row r="310" spans="1:18" x14ac:dyDescent="0.25">
      <c r="A310" t="s">
        <v>636</v>
      </c>
      <c r="B310" s="7">
        <v>44729</v>
      </c>
      <c r="C310" t="str">
        <f>TEXT(Table3[[#This Row],[Order Date]],"yyyy")</f>
        <v>2022</v>
      </c>
      <c r="D310" t="s">
        <v>6229</v>
      </c>
      <c r="E310" t="s">
        <v>637</v>
      </c>
      <c r="F310" t="s">
        <v>67</v>
      </c>
      <c r="G310">
        <v>3</v>
      </c>
      <c r="H310" t="s">
        <v>3336</v>
      </c>
      <c r="I310" t="s">
        <v>2112</v>
      </c>
      <c r="J310" t="s">
        <v>3129</v>
      </c>
      <c r="K310" t="s">
        <v>1947</v>
      </c>
      <c r="L310" t="s">
        <v>6213</v>
      </c>
      <c r="M310" t="s">
        <v>6193</v>
      </c>
      <c r="N310">
        <v>1</v>
      </c>
      <c r="O310">
        <v>11.25</v>
      </c>
      <c r="P310">
        <v>1.125</v>
      </c>
      <c r="Q310">
        <v>1.0125</v>
      </c>
      <c r="R310" s="5">
        <v>33.75</v>
      </c>
    </row>
    <row r="311" spans="1:18" x14ac:dyDescent="0.25">
      <c r="A311" t="s">
        <v>638</v>
      </c>
      <c r="B311" s="7">
        <v>43864</v>
      </c>
      <c r="C311" t="str">
        <f>TEXT(Table3[[#This Row],[Order Date]],"yyyy")</f>
        <v>2020</v>
      </c>
      <c r="D311" t="s">
        <v>6238</v>
      </c>
      <c r="E311" t="s">
        <v>639</v>
      </c>
      <c r="F311" t="s">
        <v>83</v>
      </c>
      <c r="G311">
        <v>6</v>
      </c>
      <c r="H311" t="s">
        <v>3339</v>
      </c>
      <c r="I311" t="s">
        <v>6210</v>
      </c>
      <c r="J311" t="s">
        <v>3343</v>
      </c>
      <c r="K311" t="s">
        <v>1938</v>
      </c>
      <c r="L311" t="s">
        <v>6199</v>
      </c>
      <c r="M311" t="s">
        <v>6193</v>
      </c>
      <c r="N311">
        <v>0.2</v>
      </c>
      <c r="O311">
        <v>4.3650000000000002</v>
      </c>
      <c r="P311">
        <v>2.1825000000000001</v>
      </c>
      <c r="Q311">
        <v>0.56745000000000001</v>
      </c>
      <c r="R311" s="5">
        <v>26.19</v>
      </c>
    </row>
    <row r="312" spans="1:18" x14ac:dyDescent="0.25">
      <c r="A312" t="s">
        <v>640</v>
      </c>
      <c r="B312" s="7">
        <v>44586</v>
      </c>
      <c r="C312" t="str">
        <f>TEXT(Table3[[#This Row],[Order Date]],"yyyy")</f>
        <v>2022</v>
      </c>
      <c r="D312" t="s">
        <v>6232</v>
      </c>
      <c r="E312" t="s">
        <v>641</v>
      </c>
      <c r="F312" t="s">
        <v>143</v>
      </c>
      <c r="G312">
        <v>1</v>
      </c>
      <c r="H312" t="s">
        <v>3344</v>
      </c>
      <c r="I312" t="s">
        <v>1945</v>
      </c>
      <c r="J312" t="s">
        <v>2305</v>
      </c>
      <c r="K312" t="s">
        <v>1947</v>
      </c>
      <c r="L312" t="s">
        <v>6212</v>
      </c>
      <c r="M312" t="s">
        <v>6215</v>
      </c>
      <c r="N312">
        <v>1</v>
      </c>
      <c r="O312">
        <v>14.85</v>
      </c>
      <c r="P312">
        <v>1.4849999999999999</v>
      </c>
      <c r="Q312">
        <v>1.6335</v>
      </c>
      <c r="R312" s="5">
        <v>14.85</v>
      </c>
    </row>
    <row r="313" spans="1:18" x14ac:dyDescent="0.25">
      <c r="A313" t="s">
        <v>642</v>
      </c>
      <c r="B313" s="7">
        <v>43951</v>
      </c>
      <c r="C313" t="str">
        <f>TEXT(Table3[[#This Row],[Order Date]],"yyyy")</f>
        <v>2020</v>
      </c>
      <c r="D313" t="s">
        <v>6236</v>
      </c>
      <c r="E313" t="s">
        <v>629</v>
      </c>
      <c r="F313" t="s">
        <v>118</v>
      </c>
      <c r="G313">
        <v>6</v>
      </c>
      <c r="H313" t="s">
        <v>3348</v>
      </c>
      <c r="I313" t="s">
        <v>6210</v>
      </c>
      <c r="J313" t="s">
        <v>2296</v>
      </c>
      <c r="K313" t="s">
        <v>1938</v>
      </c>
      <c r="L313" t="s">
        <v>6212</v>
      </c>
      <c r="M313" t="s">
        <v>6193</v>
      </c>
      <c r="N313">
        <v>2.5</v>
      </c>
      <c r="O313">
        <v>31.624999999999996</v>
      </c>
      <c r="P313">
        <v>1.2649999999999999</v>
      </c>
      <c r="Q313">
        <v>3.4787499999999998</v>
      </c>
      <c r="R313" s="5">
        <v>189.74999999999997</v>
      </c>
    </row>
    <row r="314" spans="1:18" x14ac:dyDescent="0.25">
      <c r="A314" t="s">
        <v>643</v>
      </c>
      <c r="B314" s="7">
        <v>44317</v>
      </c>
      <c r="C314" t="str">
        <f>TEXT(Table3[[#This Row],[Order Date]],"yyyy")</f>
        <v>2021</v>
      </c>
      <c r="D314" t="s">
        <v>6233</v>
      </c>
      <c r="E314" t="s">
        <v>644</v>
      </c>
      <c r="F314" t="s">
        <v>28</v>
      </c>
      <c r="G314">
        <v>1</v>
      </c>
      <c r="H314" t="s">
        <v>3352</v>
      </c>
      <c r="I314" t="s">
        <v>6210</v>
      </c>
      <c r="J314" t="s">
        <v>2695</v>
      </c>
      <c r="K314" t="s">
        <v>1938</v>
      </c>
      <c r="L314" t="s">
        <v>6211</v>
      </c>
      <c r="M314" t="s">
        <v>6193</v>
      </c>
      <c r="N314">
        <v>0.5</v>
      </c>
      <c r="O314">
        <v>5.97</v>
      </c>
      <c r="P314">
        <v>1.194</v>
      </c>
      <c r="Q314">
        <v>0.35819999999999996</v>
      </c>
      <c r="R314" s="5">
        <v>5.97</v>
      </c>
    </row>
    <row r="315" spans="1:18" x14ac:dyDescent="0.25">
      <c r="A315" t="s">
        <v>645</v>
      </c>
      <c r="B315" s="7">
        <v>44497</v>
      </c>
      <c r="C315" t="str">
        <f>TEXT(Table3[[#This Row],[Order Date]],"yyyy")</f>
        <v>2021</v>
      </c>
      <c r="D315" t="s">
        <v>6235</v>
      </c>
      <c r="E315" t="s">
        <v>646</v>
      </c>
      <c r="F315" t="s">
        <v>8</v>
      </c>
      <c r="G315">
        <v>3</v>
      </c>
      <c r="H315" t="s">
        <v>3356</v>
      </c>
      <c r="I315" t="s">
        <v>2112</v>
      </c>
      <c r="J315" t="s">
        <v>3360</v>
      </c>
      <c r="K315" t="s">
        <v>1938</v>
      </c>
      <c r="L315" t="s">
        <v>6211</v>
      </c>
      <c r="M315" t="s">
        <v>6193</v>
      </c>
      <c r="N315">
        <v>1</v>
      </c>
      <c r="O315">
        <v>9.9499999999999993</v>
      </c>
      <c r="P315">
        <v>0.99499999999999988</v>
      </c>
      <c r="Q315">
        <v>0.59699999999999998</v>
      </c>
      <c r="R315" s="5">
        <v>29.849999999999998</v>
      </c>
    </row>
    <row r="316" spans="1:18" x14ac:dyDescent="0.25">
      <c r="A316" t="s">
        <v>647</v>
      </c>
      <c r="B316" s="7">
        <v>44437</v>
      </c>
      <c r="C316" t="str">
        <f>TEXT(Table3[[#This Row],[Order Date]],"yyyy")</f>
        <v>2021</v>
      </c>
      <c r="D316" t="s">
        <v>6231</v>
      </c>
      <c r="E316" t="s">
        <v>648</v>
      </c>
      <c r="F316" t="s">
        <v>185</v>
      </c>
      <c r="G316">
        <v>5</v>
      </c>
      <c r="H316" t="s">
        <v>3362</v>
      </c>
      <c r="I316" t="s">
        <v>6210</v>
      </c>
      <c r="J316" t="s">
        <v>3365</v>
      </c>
      <c r="K316" t="s">
        <v>1947</v>
      </c>
      <c r="L316" t="s">
        <v>6211</v>
      </c>
      <c r="M316" t="s">
        <v>6195</v>
      </c>
      <c r="N316">
        <v>1</v>
      </c>
      <c r="O316">
        <v>8.9499999999999993</v>
      </c>
      <c r="P316">
        <v>0.89499999999999991</v>
      </c>
      <c r="Q316">
        <v>0.53699999999999992</v>
      </c>
      <c r="R316" s="5">
        <v>44.75</v>
      </c>
    </row>
    <row r="317" spans="1:18" x14ac:dyDescent="0.25">
      <c r="A317" t="s">
        <v>649</v>
      </c>
      <c r="B317" s="7">
        <v>43826</v>
      </c>
      <c r="C317" t="str">
        <f>TEXT(Table3[[#This Row],[Order Date]],"yyyy")</f>
        <v>2019</v>
      </c>
      <c r="D317" t="s">
        <v>6237</v>
      </c>
      <c r="E317" t="s">
        <v>650</v>
      </c>
      <c r="F317" t="s">
        <v>36</v>
      </c>
      <c r="G317">
        <v>1</v>
      </c>
      <c r="H317" t="s">
        <v>3366</v>
      </c>
      <c r="I317" t="s">
        <v>6210</v>
      </c>
      <c r="J317" t="s">
        <v>2643</v>
      </c>
      <c r="K317" t="s">
        <v>1938</v>
      </c>
      <c r="L317" t="s">
        <v>6212</v>
      </c>
      <c r="M317" t="s">
        <v>6215</v>
      </c>
      <c r="N317">
        <v>2.5</v>
      </c>
      <c r="O317">
        <v>34.154999999999994</v>
      </c>
      <c r="P317">
        <v>1.3661999999999999</v>
      </c>
      <c r="Q317">
        <v>3.7570499999999996</v>
      </c>
      <c r="R317" s="5">
        <v>34.154999999999994</v>
      </c>
    </row>
    <row r="318" spans="1:18" x14ac:dyDescent="0.25">
      <c r="A318" t="s">
        <v>651</v>
      </c>
      <c r="B318" s="7">
        <v>43641</v>
      </c>
      <c r="C318" t="str">
        <f>TEXT(Table3[[#This Row],[Order Date]],"yyyy")</f>
        <v>2019</v>
      </c>
      <c r="D318" t="s">
        <v>6229</v>
      </c>
      <c r="E318" t="s">
        <v>652</v>
      </c>
      <c r="F318" t="s">
        <v>36</v>
      </c>
      <c r="G318">
        <v>6</v>
      </c>
      <c r="H318" t="s">
        <v>3370</v>
      </c>
      <c r="I318" t="s">
        <v>1945</v>
      </c>
      <c r="J318" t="s">
        <v>2596</v>
      </c>
      <c r="K318" t="s">
        <v>1947</v>
      </c>
      <c r="L318" t="s">
        <v>6212</v>
      </c>
      <c r="M318" t="s">
        <v>6215</v>
      </c>
      <c r="N318">
        <v>2.5</v>
      </c>
      <c r="O318">
        <v>34.154999999999994</v>
      </c>
      <c r="P318">
        <v>1.3661999999999999</v>
      </c>
      <c r="Q318">
        <v>3.7570499999999996</v>
      </c>
      <c r="R318" s="5">
        <v>204.92999999999995</v>
      </c>
    </row>
    <row r="319" spans="1:18" x14ac:dyDescent="0.25">
      <c r="A319" t="s">
        <v>653</v>
      </c>
      <c r="B319" s="7">
        <v>43526</v>
      </c>
      <c r="C319" t="str">
        <f>TEXT(Table3[[#This Row],[Order Date]],"yyyy")</f>
        <v>2019</v>
      </c>
      <c r="D319" t="s">
        <v>6234</v>
      </c>
      <c r="E319" t="s">
        <v>654</v>
      </c>
      <c r="F319" t="s">
        <v>22</v>
      </c>
      <c r="G319">
        <v>3</v>
      </c>
      <c r="H319" t="s">
        <v>3374</v>
      </c>
      <c r="I319" t="s">
        <v>6210</v>
      </c>
      <c r="J319" t="s">
        <v>3378</v>
      </c>
      <c r="K319" t="s">
        <v>1947</v>
      </c>
      <c r="L319" t="s">
        <v>6212</v>
      </c>
      <c r="M319" t="s">
        <v>6195</v>
      </c>
      <c r="N319">
        <v>0.5</v>
      </c>
      <c r="O319">
        <v>7.29</v>
      </c>
      <c r="P319">
        <v>1.458</v>
      </c>
      <c r="Q319">
        <v>0.80190000000000006</v>
      </c>
      <c r="R319" s="5">
        <v>21.87</v>
      </c>
    </row>
    <row r="320" spans="1:18" x14ac:dyDescent="0.25">
      <c r="A320" t="s">
        <v>655</v>
      </c>
      <c r="B320" s="7">
        <v>44563</v>
      </c>
      <c r="C320" t="str">
        <f>TEXT(Table3[[#This Row],[Order Date]],"yyyy")</f>
        <v>2022</v>
      </c>
      <c r="D320" t="s">
        <v>6232</v>
      </c>
      <c r="E320" t="s">
        <v>656</v>
      </c>
      <c r="F320" t="s">
        <v>177</v>
      </c>
      <c r="G320">
        <v>2</v>
      </c>
      <c r="H320" t="s">
        <v>3379</v>
      </c>
      <c r="I320" t="s">
        <v>6210</v>
      </c>
      <c r="J320" t="s">
        <v>3383</v>
      </c>
      <c r="K320" t="s">
        <v>1938</v>
      </c>
      <c r="L320" t="s">
        <v>6213</v>
      </c>
      <c r="M320" t="s">
        <v>6193</v>
      </c>
      <c r="N320">
        <v>2.5</v>
      </c>
      <c r="O320">
        <v>25.874999999999996</v>
      </c>
      <c r="P320">
        <v>1.0349999999999999</v>
      </c>
      <c r="Q320">
        <v>2.3287499999999994</v>
      </c>
      <c r="R320" s="5">
        <v>51.749999999999993</v>
      </c>
    </row>
    <row r="321" spans="1:18" x14ac:dyDescent="0.25">
      <c r="A321" t="s">
        <v>657</v>
      </c>
      <c r="B321" s="7">
        <v>43676</v>
      </c>
      <c r="C321" t="str">
        <f>TEXT(Table3[[#This Row],[Order Date]],"yyyy")</f>
        <v>2019</v>
      </c>
      <c r="D321" t="s">
        <v>6230</v>
      </c>
      <c r="E321" t="s">
        <v>658</v>
      </c>
      <c r="F321" t="s">
        <v>70</v>
      </c>
      <c r="G321">
        <v>2</v>
      </c>
      <c r="H321" t="s">
        <v>3384</v>
      </c>
      <c r="I321" t="s">
        <v>6210</v>
      </c>
      <c r="J321" t="s">
        <v>2351</v>
      </c>
      <c r="K321" t="s">
        <v>1938</v>
      </c>
      <c r="L321" t="s">
        <v>6212</v>
      </c>
      <c r="M321" t="s">
        <v>6193</v>
      </c>
      <c r="N321">
        <v>0.2</v>
      </c>
      <c r="O321">
        <v>4.125</v>
      </c>
      <c r="P321">
        <v>2.0625</v>
      </c>
      <c r="Q321">
        <v>0.45374999999999999</v>
      </c>
      <c r="R321" s="5">
        <v>8.25</v>
      </c>
    </row>
    <row r="322" spans="1:18" x14ac:dyDescent="0.25">
      <c r="A322" t="s">
        <v>657</v>
      </c>
      <c r="B322" s="7">
        <v>43676</v>
      </c>
      <c r="C322" t="str">
        <f>TEXT(Table3[[#This Row],[Order Date]],"yyyy")</f>
        <v>2019</v>
      </c>
      <c r="D322" t="s">
        <v>6230</v>
      </c>
      <c r="E322" t="s">
        <v>658</v>
      </c>
      <c r="F322" t="s">
        <v>121</v>
      </c>
      <c r="G322">
        <v>5</v>
      </c>
      <c r="H322" t="s">
        <v>3384</v>
      </c>
      <c r="I322" t="s">
        <v>6210</v>
      </c>
      <c r="J322" t="s">
        <v>2351</v>
      </c>
      <c r="K322" t="s">
        <v>1938</v>
      </c>
      <c r="L322" t="s">
        <v>6213</v>
      </c>
      <c r="M322" t="s">
        <v>6215</v>
      </c>
      <c r="N322">
        <v>0.2</v>
      </c>
      <c r="O322">
        <v>3.8849999999999998</v>
      </c>
      <c r="P322">
        <v>1.9424999999999999</v>
      </c>
      <c r="Q322">
        <v>0.34964999999999996</v>
      </c>
      <c r="R322" s="5">
        <v>19.424999999999997</v>
      </c>
    </row>
    <row r="323" spans="1:18" x14ac:dyDescent="0.25">
      <c r="A323" t="s">
        <v>659</v>
      </c>
      <c r="B323" s="7">
        <v>44170</v>
      </c>
      <c r="C323" t="str">
        <f>TEXT(Table3[[#This Row],[Order Date]],"yyyy")</f>
        <v>2020</v>
      </c>
      <c r="D323" t="s">
        <v>6237</v>
      </c>
      <c r="E323" t="s">
        <v>660</v>
      </c>
      <c r="F323" t="s">
        <v>50</v>
      </c>
      <c r="G323">
        <v>6</v>
      </c>
      <c r="H323" t="s">
        <v>3393</v>
      </c>
      <c r="I323" t="s">
        <v>1945</v>
      </c>
      <c r="J323" t="s">
        <v>3397</v>
      </c>
      <c r="K323" t="s">
        <v>1938</v>
      </c>
      <c r="L323" t="s">
        <v>6213</v>
      </c>
      <c r="M323" t="s">
        <v>6193</v>
      </c>
      <c r="N323">
        <v>0.2</v>
      </c>
      <c r="O323">
        <v>3.375</v>
      </c>
      <c r="P323">
        <v>1.6875</v>
      </c>
      <c r="Q323">
        <v>0.30374999999999996</v>
      </c>
      <c r="R323" s="5">
        <v>20.25</v>
      </c>
    </row>
    <row r="324" spans="1:18" x14ac:dyDescent="0.25">
      <c r="A324" t="s">
        <v>661</v>
      </c>
      <c r="B324" s="7">
        <v>44182</v>
      </c>
      <c r="C324" t="str">
        <f>TEXT(Table3[[#This Row],[Order Date]],"yyyy")</f>
        <v>2020</v>
      </c>
      <c r="D324" t="s">
        <v>6237</v>
      </c>
      <c r="E324" t="s">
        <v>662</v>
      </c>
      <c r="F324" t="s">
        <v>129</v>
      </c>
      <c r="G324">
        <v>3</v>
      </c>
      <c r="H324" t="s">
        <v>3398</v>
      </c>
      <c r="I324" t="s">
        <v>1945</v>
      </c>
      <c r="J324" t="s">
        <v>3402</v>
      </c>
      <c r="K324" t="s">
        <v>1947</v>
      </c>
      <c r="L324" t="s">
        <v>6199</v>
      </c>
      <c r="M324" t="s">
        <v>6195</v>
      </c>
      <c r="N324">
        <v>0.5</v>
      </c>
      <c r="O324">
        <v>7.77</v>
      </c>
      <c r="P324">
        <v>1.5539999999999998</v>
      </c>
      <c r="Q324">
        <v>1.0101</v>
      </c>
      <c r="R324" s="5">
        <v>23.31</v>
      </c>
    </row>
    <row r="325" spans="1:18" x14ac:dyDescent="0.25">
      <c r="A325" t="s">
        <v>663</v>
      </c>
      <c r="B325" s="7">
        <v>44373</v>
      </c>
      <c r="C325" t="str">
        <f>TEXT(Table3[[#This Row],[Order Date]],"yyyy")</f>
        <v>2021</v>
      </c>
      <c r="D325" t="s">
        <v>6229</v>
      </c>
      <c r="E325" t="s">
        <v>664</v>
      </c>
      <c r="F325" t="s">
        <v>57</v>
      </c>
      <c r="G325">
        <v>5</v>
      </c>
      <c r="H325" t="s">
        <v>3403</v>
      </c>
      <c r="I325" t="s">
        <v>6210</v>
      </c>
      <c r="J325" t="s">
        <v>3407</v>
      </c>
      <c r="K325" t="s">
        <v>1938</v>
      </c>
      <c r="L325" t="s">
        <v>6212</v>
      </c>
      <c r="M325" t="s">
        <v>6195</v>
      </c>
      <c r="N325">
        <v>0.2</v>
      </c>
      <c r="O325">
        <v>3.645</v>
      </c>
      <c r="P325">
        <v>1.8225</v>
      </c>
      <c r="Q325">
        <v>0.40095000000000003</v>
      </c>
      <c r="R325" s="5">
        <v>18.225000000000001</v>
      </c>
    </row>
    <row r="326" spans="1:18" x14ac:dyDescent="0.25">
      <c r="A326" t="s">
        <v>665</v>
      </c>
      <c r="B326" s="7">
        <v>43666</v>
      </c>
      <c r="C326" t="str">
        <f>TEXT(Table3[[#This Row],[Order Date]],"yyyy")</f>
        <v>2019</v>
      </c>
      <c r="D326" t="s">
        <v>6230</v>
      </c>
      <c r="E326" t="s">
        <v>666</v>
      </c>
      <c r="F326" t="s">
        <v>15</v>
      </c>
      <c r="G326">
        <v>1</v>
      </c>
      <c r="H326" t="s">
        <v>3408</v>
      </c>
      <c r="I326" t="s">
        <v>6210</v>
      </c>
      <c r="J326" t="s">
        <v>2983</v>
      </c>
      <c r="K326" t="s">
        <v>1947</v>
      </c>
      <c r="L326" t="s">
        <v>6212</v>
      </c>
      <c r="M326" t="s">
        <v>6193</v>
      </c>
      <c r="N326">
        <v>1</v>
      </c>
      <c r="O326">
        <v>13.75</v>
      </c>
      <c r="P326">
        <v>1.375</v>
      </c>
      <c r="Q326">
        <v>1.5125</v>
      </c>
      <c r="R326" s="5">
        <v>13.75</v>
      </c>
    </row>
    <row r="327" spans="1:18" x14ac:dyDescent="0.25">
      <c r="A327" t="s">
        <v>667</v>
      </c>
      <c r="B327" s="7">
        <v>44756</v>
      </c>
      <c r="C327" t="str">
        <f>TEXT(Table3[[#This Row],[Order Date]],"yyyy")</f>
        <v>2022</v>
      </c>
      <c r="D327" t="s">
        <v>6230</v>
      </c>
      <c r="E327" t="s">
        <v>668</v>
      </c>
      <c r="F327" t="s">
        <v>210</v>
      </c>
      <c r="G327">
        <v>1</v>
      </c>
      <c r="H327" t="s">
        <v>3411</v>
      </c>
      <c r="I327" t="s">
        <v>6210</v>
      </c>
      <c r="J327" t="s">
        <v>3085</v>
      </c>
      <c r="K327" t="s">
        <v>1938</v>
      </c>
      <c r="L327" t="s">
        <v>6213</v>
      </c>
      <c r="M327" t="s">
        <v>6215</v>
      </c>
      <c r="N327">
        <v>2.5</v>
      </c>
      <c r="O327">
        <v>29.784999999999997</v>
      </c>
      <c r="P327">
        <v>1.1913999999999998</v>
      </c>
      <c r="Q327">
        <v>2.6806499999999995</v>
      </c>
      <c r="R327" s="5">
        <v>29.784999999999997</v>
      </c>
    </row>
    <row r="328" spans="1:18" x14ac:dyDescent="0.25">
      <c r="A328" t="s">
        <v>669</v>
      </c>
      <c r="B328" s="7">
        <v>44057</v>
      </c>
      <c r="C328" t="str">
        <f>TEXT(Table3[[#This Row],[Order Date]],"yyyy")</f>
        <v>2020</v>
      </c>
      <c r="D328" t="s">
        <v>6231</v>
      </c>
      <c r="E328" t="s">
        <v>670</v>
      </c>
      <c r="F328" t="s">
        <v>185</v>
      </c>
      <c r="G328">
        <v>5</v>
      </c>
      <c r="H328" t="s">
        <v>3415</v>
      </c>
      <c r="I328" t="s">
        <v>6210</v>
      </c>
      <c r="J328" t="s">
        <v>2168</v>
      </c>
      <c r="K328" t="s">
        <v>1947</v>
      </c>
      <c r="L328" t="s">
        <v>6211</v>
      </c>
      <c r="M328" t="s">
        <v>6195</v>
      </c>
      <c r="N328">
        <v>1</v>
      </c>
      <c r="O328">
        <v>8.9499999999999993</v>
      </c>
      <c r="P328">
        <v>0.89499999999999991</v>
      </c>
      <c r="Q328">
        <v>0.53699999999999992</v>
      </c>
      <c r="R328" s="5">
        <v>44.75</v>
      </c>
    </row>
    <row r="329" spans="1:18" x14ac:dyDescent="0.25">
      <c r="A329" t="s">
        <v>671</v>
      </c>
      <c r="B329" s="7">
        <v>43579</v>
      </c>
      <c r="C329" t="str">
        <f>TEXT(Table3[[#This Row],[Order Date]],"yyyy")</f>
        <v>2019</v>
      </c>
      <c r="D329" t="s">
        <v>6236</v>
      </c>
      <c r="E329" t="s">
        <v>672</v>
      </c>
      <c r="F329" t="s">
        <v>185</v>
      </c>
      <c r="G329">
        <v>5</v>
      </c>
      <c r="H329" t="s">
        <v>3418</v>
      </c>
      <c r="I329" t="s">
        <v>6210</v>
      </c>
      <c r="J329" t="s">
        <v>2771</v>
      </c>
      <c r="K329" t="s">
        <v>1938</v>
      </c>
      <c r="L329" t="s">
        <v>6211</v>
      </c>
      <c r="M329" t="s">
        <v>6195</v>
      </c>
      <c r="N329">
        <v>1</v>
      </c>
      <c r="O329">
        <v>8.9499999999999993</v>
      </c>
      <c r="P329">
        <v>0.89499999999999991</v>
      </c>
      <c r="Q329">
        <v>0.53699999999999992</v>
      </c>
      <c r="R329" s="5">
        <v>44.75</v>
      </c>
    </row>
    <row r="330" spans="1:18" x14ac:dyDescent="0.25">
      <c r="A330" t="s">
        <v>673</v>
      </c>
      <c r="B330" s="7">
        <v>43620</v>
      </c>
      <c r="C330" t="str">
        <f>TEXT(Table3[[#This Row],[Order Date]],"yyyy")</f>
        <v>2019</v>
      </c>
      <c r="D330" t="s">
        <v>6229</v>
      </c>
      <c r="E330" t="s">
        <v>674</v>
      </c>
      <c r="F330" t="s">
        <v>89</v>
      </c>
      <c r="G330">
        <v>4</v>
      </c>
      <c r="H330" t="s">
        <v>3422</v>
      </c>
      <c r="I330" t="s">
        <v>6210</v>
      </c>
      <c r="J330" t="s">
        <v>2444</v>
      </c>
      <c r="K330" t="s">
        <v>1938</v>
      </c>
      <c r="L330" t="s">
        <v>6199</v>
      </c>
      <c r="M330" t="s">
        <v>6215</v>
      </c>
      <c r="N330">
        <v>0.5</v>
      </c>
      <c r="O330">
        <v>9.51</v>
      </c>
      <c r="P330">
        <v>1.9019999999999999</v>
      </c>
      <c r="Q330">
        <v>1.2363</v>
      </c>
      <c r="R330" s="5">
        <v>38.04</v>
      </c>
    </row>
    <row r="331" spans="1:18" x14ac:dyDescent="0.25">
      <c r="A331" t="s">
        <v>675</v>
      </c>
      <c r="B331" s="7">
        <v>44781</v>
      </c>
      <c r="C331" t="str">
        <f>TEXT(Table3[[#This Row],[Order Date]],"yyyy")</f>
        <v>2022</v>
      </c>
      <c r="D331" t="s">
        <v>6231</v>
      </c>
      <c r="E331" t="s">
        <v>676</v>
      </c>
      <c r="F331" t="s">
        <v>152</v>
      </c>
      <c r="G331">
        <v>4</v>
      </c>
      <c r="H331" t="s">
        <v>3425</v>
      </c>
      <c r="I331" t="s">
        <v>6210</v>
      </c>
      <c r="J331" t="s">
        <v>2994</v>
      </c>
      <c r="K331" t="s">
        <v>1938</v>
      </c>
      <c r="L331" t="s">
        <v>6211</v>
      </c>
      <c r="M331" t="s">
        <v>6195</v>
      </c>
      <c r="N331">
        <v>0.5</v>
      </c>
      <c r="O331">
        <v>5.3699999999999992</v>
      </c>
      <c r="P331">
        <v>1.0739999999999998</v>
      </c>
      <c r="Q331">
        <v>0.32219999999999993</v>
      </c>
      <c r="R331" s="5">
        <v>21.479999999999997</v>
      </c>
    </row>
    <row r="332" spans="1:18" x14ac:dyDescent="0.25">
      <c r="A332" t="s">
        <v>677</v>
      </c>
      <c r="B332" s="7">
        <v>43782</v>
      </c>
      <c r="C332" t="str">
        <f>TEXT(Table3[[#This Row],[Order Date]],"yyyy")</f>
        <v>2019</v>
      </c>
      <c r="D332" t="s">
        <v>6239</v>
      </c>
      <c r="E332" t="s">
        <v>654</v>
      </c>
      <c r="F332" t="s">
        <v>152</v>
      </c>
      <c r="G332">
        <v>3</v>
      </c>
      <c r="H332" t="s">
        <v>3374</v>
      </c>
      <c r="I332" t="s">
        <v>6210</v>
      </c>
      <c r="J332" t="s">
        <v>3378</v>
      </c>
      <c r="K332" t="s">
        <v>1947</v>
      </c>
      <c r="L332" t="s">
        <v>6211</v>
      </c>
      <c r="M332" t="s">
        <v>6195</v>
      </c>
      <c r="N332">
        <v>0.5</v>
      </c>
      <c r="O332">
        <v>5.3699999999999992</v>
      </c>
      <c r="P332">
        <v>1.0739999999999998</v>
      </c>
      <c r="Q332">
        <v>0.32219999999999993</v>
      </c>
      <c r="R332" s="5">
        <v>16.11</v>
      </c>
    </row>
    <row r="333" spans="1:18" x14ac:dyDescent="0.25">
      <c r="A333" t="s">
        <v>678</v>
      </c>
      <c r="B333" s="7">
        <v>43989</v>
      </c>
      <c r="C333" t="str">
        <f>TEXT(Table3[[#This Row],[Order Date]],"yyyy")</f>
        <v>2020</v>
      </c>
      <c r="D333" t="s">
        <v>6229</v>
      </c>
      <c r="E333" t="s">
        <v>679</v>
      </c>
      <c r="F333" t="s">
        <v>47</v>
      </c>
      <c r="G333">
        <v>1</v>
      </c>
      <c r="H333" t="s">
        <v>3433</v>
      </c>
      <c r="I333" t="s">
        <v>6210</v>
      </c>
      <c r="J333" t="s">
        <v>3437</v>
      </c>
      <c r="K333" t="s">
        <v>1938</v>
      </c>
      <c r="L333" t="s">
        <v>6211</v>
      </c>
      <c r="M333" t="s">
        <v>6193</v>
      </c>
      <c r="N333">
        <v>2.5</v>
      </c>
      <c r="O333">
        <v>22.884999999999998</v>
      </c>
      <c r="P333">
        <v>0.91539999999999988</v>
      </c>
      <c r="Q333">
        <v>1.3730999999999998</v>
      </c>
      <c r="R333" s="5">
        <v>22.884999999999998</v>
      </c>
    </row>
    <row r="334" spans="1:18" x14ac:dyDescent="0.25">
      <c r="A334" t="s">
        <v>680</v>
      </c>
      <c r="B334" s="7">
        <v>43689</v>
      </c>
      <c r="C334" t="str">
        <f>TEXT(Table3[[#This Row],[Order Date]],"yyyy")</f>
        <v>2019</v>
      </c>
      <c r="D334" t="s">
        <v>6231</v>
      </c>
      <c r="E334" t="s">
        <v>681</v>
      </c>
      <c r="F334" t="s">
        <v>78</v>
      </c>
      <c r="G334">
        <v>3</v>
      </c>
      <c r="H334" t="s">
        <v>3438</v>
      </c>
      <c r="I334" t="s">
        <v>6210</v>
      </c>
      <c r="J334" t="s">
        <v>1982</v>
      </c>
      <c r="K334" t="s">
        <v>1938</v>
      </c>
      <c r="L334" t="s">
        <v>6213</v>
      </c>
      <c r="M334" t="s">
        <v>6195</v>
      </c>
      <c r="N334">
        <v>0.5</v>
      </c>
      <c r="O334">
        <v>5.97</v>
      </c>
      <c r="P334">
        <v>1.194</v>
      </c>
      <c r="Q334">
        <v>0.5373</v>
      </c>
      <c r="R334" s="5">
        <v>17.91</v>
      </c>
    </row>
    <row r="335" spans="1:18" x14ac:dyDescent="0.25">
      <c r="A335" t="s">
        <v>682</v>
      </c>
      <c r="B335" s="7">
        <v>43712</v>
      </c>
      <c r="C335" t="str">
        <f>TEXT(Table3[[#This Row],[Order Date]],"yyyy")</f>
        <v>2019</v>
      </c>
      <c r="D335" t="s">
        <v>6228</v>
      </c>
      <c r="E335" t="s">
        <v>683</v>
      </c>
      <c r="F335" t="s">
        <v>28</v>
      </c>
      <c r="G335">
        <v>4</v>
      </c>
      <c r="H335" t="s">
        <v>3442</v>
      </c>
      <c r="I335" t="s">
        <v>6210</v>
      </c>
      <c r="J335" t="s">
        <v>3311</v>
      </c>
      <c r="K335" t="s">
        <v>1938</v>
      </c>
      <c r="L335" t="s">
        <v>6211</v>
      </c>
      <c r="M335" t="s">
        <v>6193</v>
      </c>
      <c r="N335">
        <v>0.5</v>
      </c>
      <c r="O335">
        <v>5.97</v>
      </c>
      <c r="P335">
        <v>1.194</v>
      </c>
      <c r="Q335">
        <v>0.35819999999999996</v>
      </c>
      <c r="R335" s="5">
        <v>23.88</v>
      </c>
    </row>
    <row r="336" spans="1:18" x14ac:dyDescent="0.25">
      <c r="A336" t="s">
        <v>684</v>
      </c>
      <c r="B336" s="7">
        <v>43742</v>
      </c>
      <c r="C336" t="str">
        <f>TEXT(Table3[[#This Row],[Order Date]],"yyyy")</f>
        <v>2019</v>
      </c>
      <c r="D336" t="s">
        <v>6235</v>
      </c>
      <c r="E336" t="s">
        <v>685</v>
      </c>
      <c r="F336" t="s">
        <v>195</v>
      </c>
      <c r="G336">
        <v>5</v>
      </c>
      <c r="H336" t="s">
        <v>3446</v>
      </c>
      <c r="I336" t="s">
        <v>6210</v>
      </c>
      <c r="J336" t="s">
        <v>2933</v>
      </c>
      <c r="K336" t="s">
        <v>1947</v>
      </c>
      <c r="L336" t="s">
        <v>6211</v>
      </c>
      <c r="M336" t="s">
        <v>6215</v>
      </c>
      <c r="N336">
        <v>1</v>
      </c>
      <c r="O336">
        <v>11.95</v>
      </c>
      <c r="P336">
        <v>1.1949999999999998</v>
      </c>
      <c r="Q336">
        <v>0.71699999999999997</v>
      </c>
      <c r="R336" s="5">
        <v>59.75</v>
      </c>
    </row>
    <row r="337" spans="1:18" x14ac:dyDescent="0.25">
      <c r="A337" t="s">
        <v>686</v>
      </c>
      <c r="B337" s="7">
        <v>43885</v>
      </c>
      <c r="C337" t="str">
        <f>TEXT(Table3[[#This Row],[Order Date]],"yyyy")</f>
        <v>2020</v>
      </c>
      <c r="D337" t="s">
        <v>6238</v>
      </c>
      <c r="E337" t="s">
        <v>687</v>
      </c>
      <c r="F337" t="s">
        <v>25</v>
      </c>
      <c r="G337">
        <v>6</v>
      </c>
      <c r="H337" t="s">
        <v>3448</v>
      </c>
      <c r="I337" t="s">
        <v>6210</v>
      </c>
      <c r="J337" t="s">
        <v>2786</v>
      </c>
      <c r="K337" t="s">
        <v>1938</v>
      </c>
      <c r="L337" t="s">
        <v>6199</v>
      </c>
      <c r="M337" t="s">
        <v>6215</v>
      </c>
      <c r="N337">
        <v>0.2</v>
      </c>
      <c r="O337">
        <v>4.7549999999999999</v>
      </c>
      <c r="P337">
        <v>2.3774999999999999</v>
      </c>
      <c r="Q337">
        <v>0.61814999999999998</v>
      </c>
      <c r="R337" s="5">
        <v>28.53</v>
      </c>
    </row>
    <row r="338" spans="1:18" x14ac:dyDescent="0.25">
      <c r="A338" t="s">
        <v>688</v>
      </c>
      <c r="B338" s="7">
        <v>44434</v>
      </c>
      <c r="C338" t="str">
        <f>TEXT(Table3[[#This Row],[Order Date]],"yyyy")</f>
        <v>2021</v>
      </c>
      <c r="D338" t="s">
        <v>6231</v>
      </c>
      <c r="E338" t="s">
        <v>689</v>
      </c>
      <c r="F338" t="s">
        <v>67</v>
      </c>
      <c r="G338">
        <v>4</v>
      </c>
      <c r="H338" t="s">
        <v>3452</v>
      </c>
      <c r="I338" t="s">
        <v>2112</v>
      </c>
      <c r="J338" t="s">
        <v>3456</v>
      </c>
      <c r="K338" t="s">
        <v>1947</v>
      </c>
      <c r="L338" t="s">
        <v>6213</v>
      </c>
      <c r="M338" t="s">
        <v>6193</v>
      </c>
      <c r="N338">
        <v>1</v>
      </c>
      <c r="O338">
        <v>11.25</v>
      </c>
      <c r="P338">
        <v>1.125</v>
      </c>
      <c r="Q338">
        <v>1.0125</v>
      </c>
      <c r="R338" s="5">
        <v>45</v>
      </c>
    </row>
    <row r="339" spans="1:18" x14ac:dyDescent="0.25">
      <c r="A339" t="s">
        <v>690</v>
      </c>
      <c r="B339" s="7">
        <v>44472</v>
      </c>
      <c r="C339" t="str">
        <f>TEXT(Table3[[#This Row],[Order Date]],"yyyy")</f>
        <v>2021</v>
      </c>
      <c r="D339" t="s">
        <v>6235</v>
      </c>
      <c r="E339" t="s">
        <v>670</v>
      </c>
      <c r="F339" t="s">
        <v>536</v>
      </c>
      <c r="G339">
        <v>2</v>
      </c>
      <c r="H339" t="s">
        <v>3415</v>
      </c>
      <c r="I339" t="s">
        <v>6210</v>
      </c>
      <c r="J339" t="s">
        <v>2168</v>
      </c>
      <c r="K339" t="s">
        <v>1947</v>
      </c>
      <c r="L339" t="s">
        <v>6212</v>
      </c>
      <c r="M339" t="s">
        <v>6195</v>
      </c>
      <c r="N339">
        <v>2.5</v>
      </c>
      <c r="O339">
        <v>27.945</v>
      </c>
      <c r="P339">
        <v>1.1177999999999999</v>
      </c>
      <c r="Q339">
        <v>3.07395</v>
      </c>
      <c r="R339" s="5">
        <v>55.89</v>
      </c>
    </row>
    <row r="340" spans="1:18" x14ac:dyDescent="0.25">
      <c r="A340" t="s">
        <v>691</v>
      </c>
      <c r="B340" s="7">
        <v>43995</v>
      </c>
      <c r="C340" t="str">
        <f>TEXT(Table3[[#This Row],[Order Date]],"yyyy")</f>
        <v>2020</v>
      </c>
      <c r="D340" t="s">
        <v>6229</v>
      </c>
      <c r="E340" t="s">
        <v>692</v>
      </c>
      <c r="F340" t="s">
        <v>143</v>
      </c>
      <c r="G340">
        <v>4</v>
      </c>
      <c r="H340" t="s">
        <v>3462</v>
      </c>
      <c r="I340" t="s">
        <v>6210</v>
      </c>
      <c r="J340" t="s">
        <v>2033</v>
      </c>
      <c r="K340" t="s">
        <v>1947</v>
      </c>
      <c r="L340" t="s">
        <v>6212</v>
      </c>
      <c r="M340" t="s">
        <v>6215</v>
      </c>
      <c r="N340">
        <v>1</v>
      </c>
      <c r="O340">
        <v>14.85</v>
      </c>
      <c r="P340">
        <v>1.4849999999999999</v>
      </c>
      <c r="Q340">
        <v>1.6335</v>
      </c>
      <c r="R340" s="5">
        <v>59.4</v>
      </c>
    </row>
    <row r="341" spans="1:18" x14ac:dyDescent="0.25">
      <c r="A341" t="s">
        <v>693</v>
      </c>
      <c r="B341" s="7">
        <v>44256</v>
      </c>
      <c r="C341" t="str">
        <f>TEXT(Table3[[#This Row],[Order Date]],"yyyy")</f>
        <v>2021</v>
      </c>
      <c r="D341" t="s">
        <v>6234</v>
      </c>
      <c r="E341" t="s">
        <v>694</v>
      </c>
      <c r="F341" t="s">
        <v>57</v>
      </c>
      <c r="G341">
        <v>2</v>
      </c>
      <c r="H341" t="s">
        <v>3466</v>
      </c>
      <c r="I341" t="s">
        <v>6210</v>
      </c>
      <c r="J341" t="s">
        <v>2154</v>
      </c>
      <c r="K341" t="s">
        <v>1938</v>
      </c>
      <c r="L341" t="s">
        <v>6212</v>
      </c>
      <c r="M341" t="s">
        <v>6195</v>
      </c>
      <c r="N341">
        <v>0.2</v>
      </c>
      <c r="O341">
        <v>3.645</v>
      </c>
      <c r="P341">
        <v>1.8225</v>
      </c>
      <c r="Q341">
        <v>0.40095000000000003</v>
      </c>
      <c r="R341" s="5">
        <v>7.29</v>
      </c>
    </row>
    <row r="342" spans="1:18" x14ac:dyDescent="0.25">
      <c r="A342" t="s">
        <v>695</v>
      </c>
      <c r="B342" s="7">
        <v>43528</v>
      </c>
      <c r="C342" t="str">
        <f>TEXT(Table3[[#This Row],[Order Date]],"yyyy")</f>
        <v>2019</v>
      </c>
      <c r="D342" t="s">
        <v>6234</v>
      </c>
      <c r="E342" t="s">
        <v>696</v>
      </c>
      <c r="F342" t="s">
        <v>22</v>
      </c>
      <c r="G342">
        <v>1</v>
      </c>
      <c r="H342" t="s">
        <v>3470</v>
      </c>
      <c r="I342" t="s">
        <v>6210</v>
      </c>
      <c r="J342" t="s">
        <v>3085</v>
      </c>
      <c r="K342" t="s">
        <v>1938</v>
      </c>
      <c r="L342" t="s">
        <v>6212</v>
      </c>
      <c r="M342" t="s">
        <v>6195</v>
      </c>
      <c r="N342">
        <v>0.5</v>
      </c>
      <c r="O342">
        <v>7.29</v>
      </c>
      <c r="P342">
        <v>1.458</v>
      </c>
      <c r="Q342">
        <v>0.80190000000000006</v>
      </c>
      <c r="R342" s="5">
        <v>7.29</v>
      </c>
    </row>
    <row r="343" spans="1:18" x14ac:dyDescent="0.25">
      <c r="A343" t="s">
        <v>697</v>
      </c>
      <c r="B343" s="7">
        <v>43751</v>
      </c>
      <c r="C343" t="str">
        <f>TEXT(Table3[[#This Row],[Order Date]],"yyyy")</f>
        <v>2019</v>
      </c>
      <c r="D343" t="s">
        <v>6235</v>
      </c>
      <c r="E343" t="s">
        <v>698</v>
      </c>
      <c r="F343" t="s">
        <v>182</v>
      </c>
      <c r="G343">
        <v>2</v>
      </c>
      <c r="H343" t="s">
        <v>3474</v>
      </c>
      <c r="I343" t="s">
        <v>6210</v>
      </c>
      <c r="J343" t="s">
        <v>3478</v>
      </c>
      <c r="K343" t="s">
        <v>1947</v>
      </c>
      <c r="L343" t="s">
        <v>6212</v>
      </c>
      <c r="M343" t="s">
        <v>6215</v>
      </c>
      <c r="N343">
        <v>0.5</v>
      </c>
      <c r="O343">
        <v>8.91</v>
      </c>
      <c r="P343">
        <v>1.782</v>
      </c>
      <c r="Q343">
        <v>0.98009999999999997</v>
      </c>
      <c r="R343" s="5">
        <v>17.82</v>
      </c>
    </row>
    <row r="344" spans="1:18" x14ac:dyDescent="0.25">
      <c r="A344" t="s">
        <v>697</v>
      </c>
      <c r="B344" s="7">
        <v>43751</v>
      </c>
      <c r="C344" t="str">
        <f>TEXT(Table3[[#This Row],[Order Date]],"yyyy")</f>
        <v>2019</v>
      </c>
      <c r="D344" t="s">
        <v>6235</v>
      </c>
      <c r="E344" t="s">
        <v>698</v>
      </c>
      <c r="F344" t="s">
        <v>129</v>
      </c>
      <c r="G344">
        <v>5</v>
      </c>
      <c r="H344" t="s">
        <v>3474</v>
      </c>
      <c r="I344" t="s">
        <v>6210</v>
      </c>
      <c r="J344" t="s">
        <v>3478</v>
      </c>
      <c r="K344" t="s">
        <v>1947</v>
      </c>
      <c r="L344" t="s">
        <v>6199</v>
      </c>
      <c r="M344" t="s">
        <v>6195</v>
      </c>
      <c r="N344">
        <v>0.5</v>
      </c>
      <c r="O344">
        <v>7.77</v>
      </c>
      <c r="P344">
        <v>1.5539999999999998</v>
      </c>
      <c r="Q344">
        <v>1.0101</v>
      </c>
      <c r="R344" s="5">
        <v>38.849999999999994</v>
      </c>
    </row>
    <row r="345" spans="1:18" x14ac:dyDescent="0.25">
      <c r="A345" t="s">
        <v>699</v>
      </c>
      <c r="B345" s="7">
        <v>43692</v>
      </c>
      <c r="C345" t="str">
        <f>TEXT(Table3[[#This Row],[Order Date]],"yyyy")</f>
        <v>2019</v>
      </c>
      <c r="D345" t="s">
        <v>6231</v>
      </c>
      <c r="E345" t="s">
        <v>700</v>
      </c>
      <c r="F345" t="s">
        <v>152</v>
      </c>
      <c r="G345">
        <v>6</v>
      </c>
      <c r="H345" t="s">
        <v>3484</v>
      </c>
      <c r="I345" t="s">
        <v>6210</v>
      </c>
      <c r="J345" t="s">
        <v>3487</v>
      </c>
      <c r="K345" t="s">
        <v>1947</v>
      </c>
      <c r="L345" t="s">
        <v>6211</v>
      </c>
      <c r="M345" t="s">
        <v>6195</v>
      </c>
      <c r="N345">
        <v>0.5</v>
      </c>
      <c r="O345">
        <v>5.3699999999999992</v>
      </c>
      <c r="P345">
        <v>1.0739999999999998</v>
      </c>
      <c r="Q345">
        <v>0.32219999999999993</v>
      </c>
      <c r="R345" s="5">
        <v>32.22</v>
      </c>
    </row>
    <row r="346" spans="1:18" x14ac:dyDescent="0.25">
      <c r="A346" t="s">
        <v>701</v>
      </c>
      <c r="B346" s="7">
        <v>44529</v>
      </c>
      <c r="C346" t="str">
        <f>TEXT(Table3[[#This Row],[Order Date]],"yyyy")</f>
        <v>2021</v>
      </c>
      <c r="D346" t="s">
        <v>6239</v>
      </c>
      <c r="E346" t="s">
        <v>702</v>
      </c>
      <c r="F346" t="s">
        <v>8</v>
      </c>
      <c r="G346">
        <v>2</v>
      </c>
      <c r="H346" t="s">
        <v>3488</v>
      </c>
      <c r="I346" t="s">
        <v>1945</v>
      </c>
      <c r="J346" t="s">
        <v>3491</v>
      </c>
      <c r="K346" t="s">
        <v>1938</v>
      </c>
      <c r="L346" t="s">
        <v>6211</v>
      </c>
      <c r="M346" t="s">
        <v>6193</v>
      </c>
      <c r="N346">
        <v>1</v>
      </c>
      <c r="O346">
        <v>9.9499999999999993</v>
      </c>
      <c r="P346">
        <v>0.99499999999999988</v>
      </c>
      <c r="Q346">
        <v>0.59699999999999998</v>
      </c>
      <c r="R346" s="5">
        <v>19.899999999999999</v>
      </c>
    </row>
    <row r="347" spans="1:18" x14ac:dyDescent="0.25">
      <c r="A347" t="s">
        <v>703</v>
      </c>
      <c r="B347" s="7">
        <v>43849</v>
      </c>
      <c r="C347" t="str">
        <f>TEXT(Table3[[#This Row],[Order Date]],"yyyy")</f>
        <v>2020</v>
      </c>
      <c r="D347" t="s">
        <v>6232</v>
      </c>
      <c r="E347" t="s">
        <v>704</v>
      </c>
      <c r="F347" t="s">
        <v>195</v>
      </c>
      <c r="G347">
        <v>5</v>
      </c>
      <c r="H347" t="s">
        <v>3493</v>
      </c>
      <c r="I347" t="s">
        <v>6210</v>
      </c>
      <c r="J347" t="s">
        <v>2739</v>
      </c>
      <c r="K347" t="s">
        <v>1947</v>
      </c>
      <c r="L347" t="s">
        <v>6211</v>
      </c>
      <c r="M347" t="s">
        <v>6215</v>
      </c>
      <c r="N347">
        <v>1</v>
      </c>
      <c r="O347">
        <v>11.95</v>
      </c>
      <c r="P347">
        <v>1.1949999999999998</v>
      </c>
      <c r="Q347">
        <v>0.71699999999999997</v>
      </c>
      <c r="R347" s="5">
        <v>59.75</v>
      </c>
    </row>
    <row r="348" spans="1:18" x14ac:dyDescent="0.25">
      <c r="A348" t="s">
        <v>705</v>
      </c>
      <c r="B348" s="7">
        <v>44344</v>
      </c>
      <c r="C348" t="str">
        <f>TEXT(Table3[[#This Row],[Order Date]],"yyyy")</f>
        <v>2021</v>
      </c>
      <c r="D348" t="s">
        <v>6233</v>
      </c>
      <c r="E348" t="s">
        <v>706</v>
      </c>
      <c r="F348" t="s">
        <v>198</v>
      </c>
      <c r="G348">
        <v>3</v>
      </c>
      <c r="H348" t="s">
        <v>3497</v>
      </c>
      <c r="I348" t="s">
        <v>6210</v>
      </c>
      <c r="J348" t="s">
        <v>2321</v>
      </c>
      <c r="K348" t="s">
        <v>1938</v>
      </c>
      <c r="L348" t="s">
        <v>6213</v>
      </c>
      <c r="M348" t="s">
        <v>6215</v>
      </c>
      <c r="N348">
        <v>0.5</v>
      </c>
      <c r="O348">
        <v>7.77</v>
      </c>
      <c r="P348">
        <v>1.5539999999999998</v>
      </c>
      <c r="Q348">
        <v>0.69929999999999992</v>
      </c>
      <c r="R348" s="5">
        <v>23.31</v>
      </c>
    </row>
    <row r="349" spans="1:18" x14ac:dyDescent="0.25">
      <c r="A349" t="s">
        <v>707</v>
      </c>
      <c r="B349" s="7">
        <v>44576</v>
      </c>
      <c r="C349" t="str">
        <f>TEXT(Table3[[#This Row],[Order Date]],"yyyy")</f>
        <v>2022</v>
      </c>
      <c r="D349" t="s">
        <v>6232</v>
      </c>
      <c r="E349" t="s">
        <v>708</v>
      </c>
      <c r="F349" t="s">
        <v>102</v>
      </c>
      <c r="G349">
        <v>3</v>
      </c>
      <c r="H349" t="s">
        <v>3501</v>
      </c>
      <c r="I349" t="s">
        <v>6210</v>
      </c>
      <c r="J349" t="s">
        <v>3505</v>
      </c>
      <c r="K349" t="s">
        <v>1947</v>
      </c>
      <c r="L349" t="s">
        <v>6199</v>
      </c>
      <c r="M349" t="s">
        <v>6193</v>
      </c>
      <c r="N349">
        <v>1</v>
      </c>
      <c r="O349">
        <v>14.55</v>
      </c>
      <c r="P349">
        <v>1.4550000000000001</v>
      </c>
      <c r="Q349">
        <v>1.8915000000000002</v>
      </c>
      <c r="R349" s="5">
        <v>43.650000000000006</v>
      </c>
    </row>
    <row r="350" spans="1:18" x14ac:dyDescent="0.25">
      <c r="A350" t="s">
        <v>709</v>
      </c>
      <c r="B350" s="7">
        <v>43803</v>
      </c>
      <c r="C350" t="str">
        <f>TEXT(Table3[[#This Row],[Order Date]],"yyyy")</f>
        <v>2019</v>
      </c>
      <c r="D350" t="s">
        <v>6237</v>
      </c>
      <c r="E350" t="s">
        <v>710</v>
      </c>
      <c r="F350" t="s">
        <v>36</v>
      </c>
      <c r="G350">
        <v>6</v>
      </c>
      <c r="H350" t="s">
        <v>3506</v>
      </c>
      <c r="I350" t="s">
        <v>6210</v>
      </c>
      <c r="J350" t="s">
        <v>3510</v>
      </c>
      <c r="K350" t="s">
        <v>1947</v>
      </c>
      <c r="L350" t="s">
        <v>6212</v>
      </c>
      <c r="M350" t="s">
        <v>6215</v>
      </c>
      <c r="N350">
        <v>2.5</v>
      </c>
      <c r="O350">
        <v>34.154999999999994</v>
      </c>
      <c r="P350">
        <v>1.3661999999999999</v>
      </c>
      <c r="Q350">
        <v>3.7570499999999996</v>
      </c>
      <c r="R350" s="5">
        <v>204.92999999999995</v>
      </c>
    </row>
    <row r="351" spans="1:18" x14ac:dyDescent="0.25">
      <c r="A351" t="s">
        <v>711</v>
      </c>
      <c r="B351" s="7">
        <v>44743</v>
      </c>
      <c r="C351" t="str">
        <f>TEXT(Table3[[#This Row],[Order Date]],"yyyy")</f>
        <v>2022</v>
      </c>
      <c r="D351" t="s">
        <v>6230</v>
      </c>
      <c r="E351" t="s">
        <v>712</v>
      </c>
      <c r="F351" t="s">
        <v>188</v>
      </c>
      <c r="G351">
        <v>4</v>
      </c>
      <c r="H351" t="s">
        <v>3511</v>
      </c>
      <c r="I351" t="s">
        <v>6210</v>
      </c>
      <c r="J351" t="s">
        <v>1982</v>
      </c>
      <c r="K351" t="s">
        <v>1947</v>
      </c>
      <c r="L351" t="s">
        <v>6211</v>
      </c>
      <c r="M351" t="s">
        <v>6215</v>
      </c>
      <c r="N351">
        <v>0.2</v>
      </c>
      <c r="O351">
        <v>3.5849999999999995</v>
      </c>
      <c r="P351">
        <v>1.7924999999999998</v>
      </c>
      <c r="Q351">
        <v>0.21509999999999996</v>
      </c>
      <c r="R351" s="5">
        <v>14.339999999999998</v>
      </c>
    </row>
    <row r="352" spans="1:18" x14ac:dyDescent="0.25">
      <c r="A352" t="s">
        <v>713</v>
      </c>
      <c r="B352" s="7">
        <v>43592</v>
      </c>
      <c r="C352" t="str">
        <f>TEXT(Table3[[#This Row],[Order Date]],"yyyy")</f>
        <v>2019</v>
      </c>
      <c r="D352" t="s">
        <v>6233</v>
      </c>
      <c r="E352" t="s">
        <v>714</v>
      </c>
      <c r="F352" t="s">
        <v>78</v>
      </c>
      <c r="G352">
        <v>4</v>
      </c>
      <c r="H352" t="s">
        <v>3515</v>
      </c>
      <c r="I352" t="s">
        <v>6210</v>
      </c>
      <c r="J352" t="s">
        <v>3519</v>
      </c>
      <c r="K352" t="s">
        <v>1947</v>
      </c>
      <c r="L352" t="s">
        <v>6213</v>
      </c>
      <c r="M352" t="s">
        <v>6195</v>
      </c>
      <c r="N352">
        <v>0.5</v>
      </c>
      <c r="O352">
        <v>5.97</v>
      </c>
      <c r="P352">
        <v>1.194</v>
      </c>
      <c r="Q352">
        <v>0.5373</v>
      </c>
      <c r="R352" s="5">
        <v>23.88</v>
      </c>
    </row>
    <row r="353" spans="1:18" x14ac:dyDescent="0.25">
      <c r="A353" t="s">
        <v>715</v>
      </c>
      <c r="B353" s="7">
        <v>44066</v>
      </c>
      <c r="C353" t="str">
        <f>TEXT(Table3[[#This Row],[Order Date]],"yyyy")</f>
        <v>2020</v>
      </c>
      <c r="D353" t="s">
        <v>6231</v>
      </c>
      <c r="E353" t="s">
        <v>716</v>
      </c>
      <c r="F353" t="s">
        <v>67</v>
      </c>
      <c r="G353">
        <v>2</v>
      </c>
      <c r="H353" t="s">
        <v>3520</v>
      </c>
      <c r="I353" t="s">
        <v>6210</v>
      </c>
      <c r="J353" t="s">
        <v>3524</v>
      </c>
      <c r="K353" t="s">
        <v>1947</v>
      </c>
      <c r="L353" t="s">
        <v>6213</v>
      </c>
      <c r="M353" t="s">
        <v>6193</v>
      </c>
      <c r="N353">
        <v>1</v>
      </c>
      <c r="O353">
        <v>11.25</v>
      </c>
      <c r="P353">
        <v>1.125</v>
      </c>
      <c r="Q353">
        <v>1.0125</v>
      </c>
      <c r="R353" s="5">
        <v>22.5</v>
      </c>
    </row>
    <row r="354" spans="1:18" x14ac:dyDescent="0.25">
      <c r="A354" t="s">
        <v>717</v>
      </c>
      <c r="B354" s="7">
        <v>43984</v>
      </c>
      <c r="C354" t="str">
        <f>TEXT(Table3[[#This Row],[Order Date]],"yyyy")</f>
        <v>2020</v>
      </c>
      <c r="D354" t="s">
        <v>6229</v>
      </c>
      <c r="E354" t="s">
        <v>670</v>
      </c>
      <c r="F354" t="s">
        <v>22</v>
      </c>
      <c r="G354">
        <v>5</v>
      </c>
      <c r="H354" t="s">
        <v>3415</v>
      </c>
      <c r="I354" t="s">
        <v>6210</v>
      </c>
      <c r="J354" t="s">
        <v>2168</v>
      </c>
      <c r="K354" t="s">
        <v>1947</v>
      </c>
      <c r="L354" t="s">
        <v>6212</v>
      </c>
      <c r="M354" t="s">
        <v>6195</v>
      </c>
      <c r="N354">
        <v>0.5</v>
      </c>
      <c r="O354">
        <v>7.29</v>
      </c>
      <c r="P354">
        <v>1.458</v>
      </c>
      <c r="Q354">
        <v>0.80190000000000006</v>
      </c>
      <c r="R354" s="5">
        <v>36.450000000000003</v>
      </c>
    </row>
    <row r="355" spans="1:18" x14ac:dyDescent="0.25">
      <c r="A355" t="s">
        <v>718</v>
      </c>
      <c r="B355" s="7">
        <v>43860</v>
      </c>
      <c r="C355" t="str">
        <f>TEXT(Table3[[#This Row],[Order Date]],"yyyy")</f>
        <v>2020</v>
      </c>
      <c r="D355" t="s">
        <v>6232</v>
      </c>
      <c r="E355" t="s">
        <v>719</v>
      </c>
      <c r="F355" t="s">
        <v>73</v>
      </c>
      <c r="G355">
        <v>4</v>
      </c>
      <c r="H355" t="s">
        <v>3530</v>
      </c>
      <c r="I355" t="s">
        <v>6210</v>
      </c>
      <c r="J355" t="s">
        <v>2739</v>
      </c>
      <c r="K355" t="s">
        <v>1938</v>
      </c>
      <c r="L355" t="s">
        <v>6213</v>
      </c>
      <c r="M355" t="s">
        <v>6193</v>
      </c>
      <c r="N355">
        <v>0.5</v>
      </c>
      <c r="O355">
        <v>6.75</v>
      </c>
      <c r="P355">
        <v>1.35</v>
      </c>
      <c r="Q355">
        <v>0.60749999999999993</v>
      </c>
      <c r="R355" s="5">
        <v>27</v>
      </c>
    </row>
    <row r="356" spans="1:18" x14ac:dyDescent="0.25">
      <c r="A356" t="s">
        <v>720</v>
      </c>
      <c r="B356" s="7">
        <v>43876</v>
      </c>
      <c r="C356" t="str">
        <f>TEXT(Table3[[#This Row],[Order Date]],"yyyy")</f>
        <v>2020</v>
      </c>
      <c r="D356" t="s">
        <v>6238</v>
      </c>
      <c r="E356" t="s">
        <v>721</v>
      </c>
      <c r="F356" t="s">
        <v>177</v>
      </c>
      <c r="G356">
        <v>6</v>
      </c>
      <c r="H356" t="s">
        <v>3533</v>
      </c>
      <c r="I356" t="s">
        <v>6210</v>
      </c>
      <c r="J356" t="s">
        <v>3536</v>
      </c>
      <c r="K356" t="s">
        <v>1947</v>
      </c>
      <c r="L356" t="s">
        <v>6213</v>
      </c>
      <c r="M356" t="s">
        <v>6193</v>
      </c>
      <c r="N356">
        <v>2.5</v>
      </c>
      <c r="O356">
        <v>25.874999999999996</v>
      </c>
      <c r="P356">
        <v>1.0349999999999999</v>
      </c>
      <c r="Q356">
        <v>2.3287499999999994</v>
      </c>
      <c r="R356" s="5">
        <v>155.24999999999997</v>
      </c>
    </row>
    <row r="357" spans="1:18" x14ac:dyDescent="0.25">
      <c r="A357" t="s">
        <v>722</v>
      </c>
      <c r="B357" s="7">
        <v>44358</v>
      </c>
      <c r="C357" t="str">
        <f>TEXT(Table3[[#This Row],[Order Date]],"yyyy")</f>
        <v>2021</v>
      </c>
      <c r="D357" t="s">
        <v>6229</v>
      </c>
      <c r="E357" t="s">
        <v>723</v>
      </c>
      <c r="F357" t="s">
        <v>124</v>
      </c>
      <c r="G357">
        <v>5</v>
      </c>
      <c r="H357" t="s">
        <v>3537</v>
      </c>
      <c r="I357" t="s">
        <v>6210</v>
      </c>
      <c r="J357" t="s">
        <v>2690</v>
      </c>
      <c r="K357" t="s">
        <v>1938</v>
      </c>
      <c r="L357" t="s">
        <v>6213</v>
      </c>
      <c r="M357" t="s">
        <v>6195</v>
      </c>
      <c r="N357">
        <v>2.5</v>
      </c>
      <c r="O357">
        <v>22.884999999999998</v>
      </c>
      <c r="P357">
        <v>0.91539999999999988</v>
      </c>
      <c r="Q357">
        <v>2.0596499999999995</v>
      </c>
      <c r="R357" s="5">
        <v>114.42499999999998</v>
      </c>
    </row>
    <row r="358" spans="1:18" x14ac:dyDescent="0.25">
      <c r="A358" t="s">
        <v>724</v>
      </c>
      <c r="B358" s="7">
        <v>44631</v>
      </c>
      <c r="C358" t="str">
        <f>TEXT(Table3[[#This Row],[Order Date]],"yyyy")</f>
        <v>2022</v>
      </c>
      <c r="D358" t="s">
        <v>6234</v>
      </c>
      <c r="E358" t="s">
        <v>725</v>
      </c>
      <c r="F358" t="s">
        <v>19</v>
      </c>
      <c r="G358">
        <v>4</v>
      </c>
      <c r="H358" t="s">
        <v>3541</v>
      </c>
      <c r="I358" t="s">
        <v>6210</v>
      </c>
      <c r="J358" t="s">
        <v>2994</v>
      </c>
      <c r="K358" t="s">
        <v>1938</v>
      </c>
      <c r="L358" t="s">
        <v>6199</v>
      </c>
      <c r="M358" t="s">
        <v>6195</v>
      </c>
      <c r="N358">
        <v>1</v>
      </c>
      <c r="O358">
        <v>12.95</v>
      </c>
      <c r="P358">
        <v>1.2949999999999999</v>
      </c>
      <c r="Q358">
        <v>1.6835</v>
      </c>
      <c r="R358" s="5">
        <v>51.8</v>
      </c>
    </row>
    <row r="359" spans="1:18" x14ac:dyDescent="0.25">
      <c r="A359" t="s">
        <v>726</v>
      </c>
      <c r="B359" s="7">
        <v>44448</v>
      </c>
      <c r="C359" t="str">
        <f>TEXT(Table3[[#This Row],[Order Date]],"yyyy")</f>
        <v>2021</v>
      </c>
      <c r="D359" t="s">
        <v>6228</v>
      </c>
      <c r="E359" t="s">
        <v>727</v>
      </c>
      <c r="F359" t="s">
        <v>177</v>
      </c>
      <c r="G359">
        <v>6</v>
      </c>
      <c r="H359" t="s">
        <v>3545</v>
      </c>
      <c r="I359" t="s">
        <v>6210</v>
      </c>
      <c r="J359" t="s">
        <v>3548</v>
      </c>
      <c r="K359" t="s">
        <v>1947</v>
      </c>
      <c r="L359" t="s">
        <v>6213</v>
      </c>
      <c r="M359" t="s">
        <v>6193</v>
      </c>
      <c r="N359">
        <v>2.5</v>
      </c>
      <c r="O359">
        <v>25.874999999999996</v>
      </c>
      <c r="P359">
        <v>1.0349999999999999</v>
      </c>
      <c r="Q359">
        <v>2.3287499999999994</v>
      </c>
      <c r="R359" s="5">
        <v>155.24999999999997</v>
      </c>
    </row>
    <row r="360" spans="1:18" x14ac:dyDescent="0.25">
      <c r="A360" t="s">
        <v>728</v>
      </c>
      <c r="B360" s="7">
        <v>43599</v>
      </c>
      <c r="C360" t="str">
        <f>TEXT(Table3[[#This Row],[Order Date]],"yyyy")</f>
        <v>2019</v>
      </c>
      <c r="D360" t="s">
        <v>6233</v>
      </c>
      <c r="E360" t="s">
        <v>729</v>
      </c>
      <c r="F360" t="s">
        <v>210</v>
      </c>
      <c r="G360">
        <v>1</v>
      </c>
      <c r="H360" t="s">
        <v>3549</v>
      </c>
      <c r="I360" t="s">
        <v>6210</v>
      </c>
      <c r="J360" t="s">
        <v>3553</v>
      </c>
      <c r="K360" t="s">
        <v>1947</v>
      </c>
      <c r="L360" t="s">
        <v>6213</v>
      </c>
      <c r="M360" t="s">
        <v>6215</v>
      </c>
      <c r="N360">
        <v>2.5</v>
      </c>
      <c r="O360">
        <v>29.784999999999997</v>
      </c>
      <c r="P360">
        <v>1.1913999999999998</v>
      </c>
      <c r="Q360">
        <v>2.6806499999999995</v>
      </c>
      <c r="R360" s="5">
        <v>29.784999999999997</v>
      </c>
    </row>
    <row r="361" spans="1:18" x14ac:dyDescent="0.25">
      <c r="A361" t="s">
        <v>730</v>
      </c>
      <c r="B361" s="7">
        <v>43563</v>
      </c>
      <c r="C361" t="str">
        <f>TEXT(Table3[[#This Row],[Order Date]],"yyyy")</f>
        <v>2019</v>
      </c>
      <c r="D361" t="s">
        <v>6236</v>
      </c>
      <c r="E361" t="s">
        <v>731</v>
      </c>
      <c r="F361" t="s">
        <v>188</v>
      </c>
      <c r="G361">
        <v>6</v>
      </c>
      <c r="H361" t="s">
        <v>3554</v>
      </c>
      <c r="I361" t="s">
        <v>2112</v>
      </c>
      <c r="J361" t="s">
        <v>3558</v>
      </c>
      <c r="K361" t="s">
        <v>1947</v>
      </c>
      <c r="L361" t="s">
        <v>6211</v>
      </c>
      <c r="M361" t="s">
        <v>6215</v>
      </c>
      <c r="N361">
        <v>0.2</v>
      </c>
      <c r="O361">
        <v>3.5849999999999995</v>
      </c>
      <c r="P361">
        <v>1.7924999999999998</v>
      </c>
      <c r="Q361">
        <v>0.21509999999999996</v>
      </c>
      <c r="R361" s="5">
        <v>21.509999999999998</v>
      </c>
    </row>
    <row r="362" spans="1:18" x14ac:dyDescent="0.25">
      <c r="A362" t="s">
        <v>732</v>
      </c>
      <c r="B362" s="7">
        <v>44058</v>
      </c>
      <c r="C362" t="str">
        <f>TEXT(Table3[[#This Row],[Order Date]],"yyyy")</f>
        <v>2020</v>
      </c>
      <c r="D362" t="s">
        <v>6231</v>
      </c>
      <c r="E362" t="s">
        <v>733</v>
      </c>
      <c r="F362" t="s">
        <v>41</v>
      </c>
      <c r="G362">
        <v>2</v>
      </c>
      <c r="H362" t="s">
        <v>3560</v>
      </c>
      <c r="I362" t="s">
        <v>6210</v>
      </c>
      <c r="J362" t="s">
        <v>3212</v>
      </c>
      <c r="K362" t="s">
        <v>1947</v>
      </c>
      <c r="L362" t="s">
        <v>6211</v>
      </c>
      <c r="M362" t="s">
        <v>6195</v>
      </c>
      <c r="N362">
        <v>2.5</v>
      </c>
      <c r="O362">
        <v>20.584999999999997</v>
      </c>
      <c r="P362">
        <v>0.82339999999999991</v>
      </c>
      <c r="Q362">
        <v>1.2350999999999999</v>
      </c>
      <c r="R362" s="5">
        <v>41.169999999999995</v>
      </c>
    </row>
    <row r="363" spans="1:18" x14ac:dyDescent="0.25">
      <c r="A363" t="s">
        <v>732</v>
      </c>
      <c r="B363" s="7">
        <v>44058</v>
      </c>
      <c r="C363" t="str">
        <f>TEXT(Table3[[#This Row],[Order Date]],"yyyy")</f>
        <v>2020</v>
      </c>
      <c r="D363" t="s">
        <v>6231</v>
      </c>
      <c r="E363" t="s">
        <v>733</v>
      </c>
      <c r="F363" t="s">
        <v>28</v>
      </c>
      <c r="G363">
        <v>1</v>
      </c>
      <c r="H363" t="s">
        <v>3560</v>
      </c>
      <c r="I363" t="s">
        <v>6210</v>
      </c>
      <c r="J363" t="s">
        <v>3212</v>
      </c>
      <c r="K363" t="s">
        <v>1947</v>
      </c>
      <c r="L363" t="s">
        <v>6211</v>
      </c>
      <c r="M363" t="s">
        <v>6193</v>
      </c>
      <c r="N363">
        <v>0.5</v>
      </c>
      <c r="O363">
        <v>5.97</v>
      </c>
      <c r="P363">
        <v>1.194</v>
      </c>
      <c r="Q363">
        <v>0.35819999999999996</v>
      </c>
      <c r="R363" s="5">
        <v>5.97</v>
      </c>
    </row>
    <row r="364" spans="1:18" x14ac:dyDescent="0.25">
      <c r="A364" t="s">
        <v>734</v>
      </c>
      <c r="B364" s="7">
        <v>44686</v>
      </c>
      <c r="C364" t="str">
        <f>TEXT(Table3[[#This Row],[Order Date]],"yyyy")</f>
        <v>2022</v>
      </c>
      <c r="D364" t="s">
        <v>6233</v>
      </c>
      <c r="E364" t="s">
        <v>735</v>
      </c>
      <c r="F364" t="s">
        <v>143</v>
      </c>
      <c r="G364">
        <v>5</v>
      </c>
      <c r="H364" t="s">
        <v>3569</v>
      </c>
      <c r="I364" t="s">
        <v>6210</v>
      </c>
      <c r="J364" t="s">
        <v>3094</v>
      </c>
      <c r="K364" t="s">
        <v>1938</v>
      </c>
      <c r="L364" t="s">
        <v>6212</v>
      </c>
      <c r="M364" t="s">
        <v>6215</v>
      </c>
      <c r="N364">
        <v>1</v>
      </c>
      <c r="O364">
        <v>14.85</v>
      </c>
      <c r="P364">
        <v>1.4849999999999999</v>
      </c>
      <c r="Q364">
        <v>1.6335</v>
      </c>
      <c r="R364" s="5">
        <v>74.25</v>
      </c>
    </row>
    <row r="365" spans="1:18" x14ac:dyDescent="0.25">
      <c r="A365" t="s">
        <v>736</v>
      </c>
      <c r="B365" s="7">
        <v>44282</v>
      </c>
      <c r="C365" t="str">
        <f>TEXT(Table3[[#This Row],[Order Date]],"yyyy")</f>
        <v>2021</v>
      </c>
      <c r="D365" t="s">
        <v>6234</v>
      </c>
      <c r="E365" t="s">
        <v>737</v>
      </c>
      <c r="F365" t="s">
        <v>102</v>
      </c>
      <c r="G365">
        <v>6</v>
      </c>
      <c r="H365" t="s">
        <v>3573</v>
      </c>
      <c r="I365" t="s">
        <v>6210</v>
      </c>
      <c r="J365" t="s">
        <v>3576</v>
      </c>
      <c r="K365" t="s">
        <v>1947</v>
      </c>
      <c r="L365" t="s">
        <v>6199</v>
      </c>
      <c r="M365" t="s">
        <v>6193</v>
      </c>
      <c r="N365">
        <v>1</v>
      </c>
      <c r="O365">
        <v>14.55</v>
      </c>
      <c r="P365">
        <v>1.4550000000000001</v>
      </c>
      <c r="Q365">
        <v>1.8915000000000002</v>
      </c>
      <c r="R365" s="5">
        <v>87.300000000000011</v>
      </c>
    </row>
    <row r="366" spans="1:18" x14ac:dyDescent="0.25">
      <c r="A366" t="s">
        <v>738</v>
      </c>
      <c r="B366" s="7">
        <v>43582</v>
      </c>
      <c r="C366" t="str">
        <f>TEXT(Table3[[#This Row],[Order Date]],"yyyy")</f>
        <v>2019</v>
      </c>
      <c r="D366" t="s">
        <v>6236</v>
      </c>
      <c r="E366" t="s">
        <v>739</v>
      </c>
      <c r="F366" t="s">
        <v>251</v>
      </c>
      <c r="G366">
        <v>6</v>
      </c>
      <c r="H366" t="s">
        <v>3577</v>
      </c>
      <c r="I366" t="s">
        <v>6210</v>
      </c>
      <c r="J366" t="s">
        <v>2351</v>
      </c>
      <c r="K366" t="s">
        <v>1938</v>
      </c>
      <c r="L366" t="s">
        <v>6212</v>
      </c>
      <c r="M366" t="s">
        <v>6195</v>
      </c>
      <c r="N366">
        <v>1</v>
      </c>
      <c r="O366">
        <v>12.15</v>
      </c>
      <c r="P366">
        <v>1.2150000000000001</v>
      </c>
      <c r="Q366">
        <v>1.3365</v>
      </c>
      <c r="R366" s="5">
        <v>72.900000000000006</v>
      </c>
    </row>
    <row r="367" spans="1:18" x14ac:dyDescent="0.25">
      <c r="A367" t="s">
        <v>740</v>
      </c>
      <c r="B367" s="7">
        <v>44464</v>
      </c>
      <c r="C367" t="str">
        <f>TEXT(Table3[[#This Row],[Order Date]],"yyyy")</f>
        <v>2021</v>
      </c>
      <c r="D367" t="s">
        <v>6228</v>
      </c>
      <c r="E367" t="s">
        <v>741</v>
      </c>
      <c r="F367" t="s">
        <v>129</v>
      </c>
      <c r="G367">
        <v>1</v>
      </c>
      <c r="H367" t="s">
        <v>3581</v>
      </c>
      <c r="I367" t="s">
        <v>6210</v>
      </c>
      <c r="J367" t="s">
        <v>3584</v>
      </c>
      <c r="K367" t="s">
        <v>1947</v>
      </c>
      <c r="L367" t="s">
        <v>6199</v>
      </c>
      <c r="M367" t="s">
        <v>6195</v>
      </c>
      <c r="N367">
        <v>0.5</v>
      </c>
      <c r="O367">
        <v>7.77</v>
      </c>
      <c r="P367">
        <v>1.5539999999999998</v>
      </c>
      <c r="Q367">
        <v>1.0101</v>
      </c>
      <c r="R367" s="5">
        <v>7.77</v>
      </c>
    </row>
    <row r="368" spans="1:18" x14ac:dyDescent="0.25">
      <c r="A368" t="s">
        <v>742</v>
      </c>
      <c r="B368" s="7">
        <v>43874</v>
      </c>
      <c r="C368" t="str">
        <f>TEXT(Table3[[#This Row],[Order Date]],"yyyy")</f>
        <v>2020</v>
      </c>
      <c r="D368" t="s">
        <v>6238</v>
      </c>
      <c r="E368" t="s">
        <v>743</v>
      </c>
      <c r="F368" t="s">
        <v>22</v>
      </c>
      <c r="G368">
        <v>6</v>
      </c>
      <c r="H368" t="s">
        <v>3585</v>
      </c>
      <c r="I368" t="s">
        <v>6210</v>
      </c>
      <c r="J368" t="s">
        <v>2526</v>
      </c>
      <c r="K368" t="s">
        <v>1947</v>
      </c>
      <c r="L368" t="s">
        <v>6212</v>
      </c>
      <c r="M368" t="s">
        <v>6195</v>
      </c>
      <c r="N368">
        <v>0.5</v>
      </c>
      <c r="O368">
        <v>7.29</v>
      </c>
      <c r="P368">
        <v>1.458</v>
      </c>
      <c r="Q368">
        <v>0.80190000000000006</v>
      </c>
      <c r="R368" s="5">
        <v>43.74</v>
      </c>
    </row>
    <row r="369" spans="1:18" x14ac:dyDescent="0.25">
      <c r="A369" t="s">
        <v>744</v>
      </c>
      <c r="B369" s="7">
        <v>44393</v>
      </c>
      <c r="C369" t="str">
        <f>TEXT(Table3[[#This Row],[Order Date]],"yyyy")</f>
        <v>2021</v>
      </c>
      <c r="D369" t="s">
        <v>6230</v>
      </c>
      <c r="E369" t="s">
        <v>745</v>
      </c>
      <c r="F369" t="s">
        <v>83</v>
      </c>
      <c r="G369">
        <v>2</v>
      </c>
      <c r="H369" t="s">
        <v>3588</v>
      </c>
      <c r="I369" t="s">
        <v>6210</v>
      </c>
      <c r="J369" t="s">
        <v>2881</v>
      </c>
      <c r="K369" t="s">
        <v>1938</v>
      </c>
      <c r="L369" t="s">
        <v>6199</v>
      </c>
      <c r="M369" t="s">
        <v>6193</v>
      </c>
      <c r="N369">
        <v>0.2</v>
      </c>
      <c r="O369">
        <v>4.3650000000000002</v>
      </c>
      <c r="P369">
        <v>2.1825000000000001</v>
      </c>
      <c r="Q369">
        <v>0.56745000000000001</v>
      </c>
      <c r="R369" s="5">
        <v>8.73</v>
      </c>
    </row>
    <row r="370" spans="1:18" x14ac:dyDescent="0.25">
      <c r="A370" t="s">
        <v>746</v>
      </c>
      <c r="B370" s="7">
        <v>44692</v>
      </c>
      <c r="C370" t="str">
        <f>TEXT(Table3[[#This Row],[Order Date]],"yyyy")</f>
        <v>2022</v>
      </c>
      <c r="D370" t="s">
        <v>6233</v>
      </c>
      <c r="E370" t="s">
        <v>747</v>
      </c>
      <c r="F370" t="s">
        <v>118</v>
      </c>
      <c r="G370">
        <v>2</v>
      </c>
      <c r="H370" t="s">
        <v>3590</v>
      </c>
      <c r="I370" t="s">
        <v>6210</v>
      </c>
      <c r="J370" t="s">
        <v>2885</v>
      </c>
      <c r="K370" t="s">
        <v>1947</v>
      </c>
      <c r="L370" t="s">
        <v>6212</v>
      </c>
      <c r="M370" t="s">
        <v>6193</v>
      </c>
      <c r="N370">
        <v>2.5</v>
      </c>
      <c r="O370">
        <v>31.624999999999996</v>
      </c>
      <c r="P370">
        <v>1.2649999999999999</v>
      </c>
      <c r="Q370">
        <v>3.4787499999999998</v>
      </c>
      <c r="R370" s="5">
        <v>63.249999999999993</v>
      </c>
    </row>
    <row r="371" spans="1:18" x14ac:dyDescent="0.25">
      <c r="A371" t="s">
        <v>748</v>
      </c>
      <c r="B371" s="7">
        <v>43500</v>
      </c>
      <c r="C371" t="str">
        <f>TEXT(Table3[[#This Row],[Order Date]],"yyyy")</f>
        <v>2019</v>
      </c>
      <c r="D371" t="s">
        <v>6238</v>
      </c>
      <c r="E371" t="s">
        <v>749</v>
      </c>
      <c r="F371" t="s">
        <v>182</v>
      </c>
      <c r="G371">
        <v>1</v>
      </c>
      <c r="H371" t="s">
        <v>3594</v>
      </c>
      <c r="I371" t="s">
        <v>6210</v>
      </c>
      <c r="J371" t="s">
        <v>3365</v>
      </c>
      <c r="K371" t="s">
        <v>1938</v>
      </c>
      <c r="L371" t="s">
        <v>6212</v>
      </c>
      <c r="M371" t="s">
        <v>6215</v>
      </c>
      <c r="N371">
        <v>0.5</v>
      </c>
      <c r="O371">
        <v>8.91</v>
      </c>
      <c r="P371">
        <v>1.782</v>
      </c>
      <c r="Q371">
        <v>0.98009999999999997</v>
      </c>
      <c r="R371" s="5">
        <v>8.91</v>
      </c>
    </row>
    <row r="372" spans="1:18" x14ac:dyDescent="0.25">
      <c r="A372" t="s">
        <v>750</v>
      </c>
      <c r="B372" s="7">
        <v>43501</v>
      </c>
      <c r="C372" t="str">
        <f>TEXT(Table3[[#This Row],[Order Date]],"yyyy")</f>
        <v>2019</v>
      </c>
      <c r="D372" t="s">
        <v>6238</v>
      </c>
      <c r="E372" t="s">
        <v>751</v>
      </c>
      <c r="F372" t="s">
        <v>251</v>
      </c>
      <c r="G372">
        <v>2</v>
      </c>
      <c r="H372" t="s">
        <v>3596</v>
      </c>
      <c r="I372" t="s">
        <v>6210</v>
      </c>
      <c r="J372" t="s">
        <v>2933</v>
      </c>
      <c r="K372" t="s">
        <v>1938</v>
      </c>
      <c r="L372" t="s">
        <v>6212</v>
      </c>
      <c r="M372" t="s">
        <v>6195</v>
      </c>
      <c r="N372">
        <v>1</v>
      </c>
      <c r="O372">
        <v>12.15</v>
      </c>
      <c r="P372">
        <v>1.2150000000000001</v>
      </c>
      <c r="Q372">
        <v>1.3365</v>
      </c>
      <c r="R372" s="5">
        <v>24.3</v>
      </c>
    </row>
    <row r="373" spans="1:18" x14ac:dyDescent="0.25">
      <c r="A373" t="s">
        <v>752</v>
      </c>
      <c r="B373" s="7">
        <v>44705</v>
      </c>
      <c r="C373" t="str">
        <f>TEXT(Table3[[#This Row],[Order Date]],"yyyy")</f>
        <v>2022</v>
      </c>
      <c r="D373" t="s">
        <v>6233</v>
      </c>
      <c r="E373" t="s">
        <v>753</v>
      </c>
      <c r="F373" t="s">
        <v>198</v>
      </c>
      <c r="G373">
        <v>6</v>
      </c>
      <c r="H373" t="s">
        <v>3600</v>
      </c>
      <c r="I373" t="s">
        <v>6210</v>
      </c>
      <c r="J373" t="s">
        <v>3487</v>
      </c>
      <c r="K373" t="s">
        <v>1938</v>
      </c>
      <c r="L373" t="s">
        <v>6213</v>
      </c>
      <c r="M373" t="s">
        <v>6215</v>
      </c>
      <c r="N373">
        <v>0.5</v>
      </c>
      <c r="O373">
        <v>7.77</v>
      </c>
      <c r="P373">
        <v>1.5539999999999998</v>
      </c>
      <c r="Q373">
        <v>0.69929999999999992</v>
      </c>
      <c r="R373" s="5">
        <v>46.62</v>
      </c>
    </row>
    <row r="374" spans="1:18" x14ac:dyDescent="0.25">
      <c r="A374" t="s">
        <v>754</v>
      </c>
      <c r="B374" s="7">
        <v>44108</v>
      </c>
      <c r="C374" t="str">
        <f>TEXT(Table3[[#This Row],[Order Date]],"yyyy")</f>
        <v>2020</v>
      </c>
      <c r="D374" t="s">
        <v>6235</v>
      </c>
      <c r="E374" t="s">
        <v>755</v>
      </c>
      <c r="F374" t="s">
        <v>163</v>
      </c>
      <c r="G374">
        <v>6</v>
      </c>
      <c r="H374" t="s">
        <v>3604</v>
      </c>
      <c r="I374" t="s">
        <v>6210</v>
      </c>
      <c r="J374" t="s">
        <v>3608</v>
      </c>
      <c r="K374" t="s">
        <v>1947</v>
      </c>
      <c r="L374" t="s">
        <v>6211</v>
      </c>
      <c r="M374" t="s">
        <v>6215</v>
      </c>
      <c r="N374">
        <v>0.5</v>
      </c>
      <c r="O374">
        <v>7.169999999999999</v>
      </c>
      <c r="P374">
        <v>1.4339999999999997</v>
      </c>
      <c r="Q374">
        <v>0.43019999999999992</v>
      </c>
      <c r="R374" s="5">
        <v>43.019999999999996</v>
      </c>
    </row>
    <row r="375" spans="1:18" x14ac:dyDescent="0.25">
      <c r="A375" t="s">
        <v>756</v>
      </c>
      <c r="B375" s="7">
        <v>44742</v>
      </c>
      <c r="C375" t="str">
        <f>TEXT(Table3[[#This Row],[Order Date]],"yyyy")</f>
        <v>2022</v>
      </c>
      <c r="D375" t="s">
        <v>6229</v>
      </c>
      <c r="E375" t="s">
        <v>757</v>
      </c>
      <c r="F375" t="s">
        <v>78</v>
      </c>
      <c r="G375">
        <v>3</v>
      </c>
      <c r="H375" t="s">
        <v>3609</v>
      </c>
      <c r="I375" t="s">
        <v>1945</v>
      </c>
      <c r="J375" t="s">
        <v>3612</v>
      </c>
      <c r="K375" t="s">
        <v>1938</v>
      </c>
      <c r="L375" t="s">
        <v>6213</v>
      </c>
      <c r="M375" t="s">
        <v>6195</v>
      </c>
      <c r="N375">
        <v>0.5</v>
      </c>
      <c r="O375">
        <v>5.97</v>
      </c>
      <c r="P375">
        <v>1.194</v>
      </c>
      <c r="Q375">
        <v>0.5373</v>
      </c>
      <c r="R375" s="5">
        <v>17.91</v>
      </c>
    </row>
    <row r="376" spans="1:18" x14ac:dyDescent="0.25">
      <c r="A376" t="s">
        <v>758</v>
      </c>
      <c r="B376" s="7">
        <v>44125</v>
      </c>
      <c r="C376" t="str">
        <f>TEXT(Table3[[#This Row],[Order Date]],"yyyy")</f>
        <v>2020</v>
      </c>
      <c r="D376" t="s">
        <v>6235</v>
      </c>
      <c r="E376" t="s">
        <v>759</v>
      </c>
      <c r="F376" t="s">
        <v>89</v>
      </c>
      <c r="G376">
        <v>4</v>
      </c>
      <c r="H376" t="s">
        <v>3614</v>
      </c>
      <c r="I376" t="s">
        <v>6210</v>
      </c>
      <c r="J376" t="s">
        <v>3618</v>
      </c>
      <c r="K376" t="s">
        <v>1938</v>
      </c>
      <c r="L376" t="s">
        <v>6199</v>
      </c>
      <c r="M376" t="s">
        <v>6215</v>
      </c>
      <c r="N376">
        <v>0.5</v>
      </c>
      <c r="O376">
        <v>9.51</v>
      </c>
      <c r="P376">
        <v>1.9019999999999999</v>
      </c>
      <c r="Q376">
        <v>1.2363</v>
      </c>
      <c r="R376" s="5">
        <v>38.04</v>
      </c>
    </row>
    <row r="377" spans="1:18" x14ac:dyDescent="0.25">
      <c r="A377" t="s">
        <v>760</v>
      </c>
      <c r="B377" s="7">
        <v>44120</v>
      </c>
      <c r="C377" t="str">
        <f>TEXT(Table3[[#This Row],[Order Date]],"yyyy")</f>
        <v>2020</v>
      </c>
      <c r="D377" t="s">
        <v>6235</v>
      </c>
      <c r="E377" t="s">
        <v>761</v>
      </c>
      <c r="F377" t="s">
        <v>50</v>
      </c>
      <c r="G377">
        <v>2</v>
      </c>
      <c r="H377" t="s">
        <v>3619</v>
      </c>
      <c r="I377" t="s">
        <v>6210</v>
      </c>
      <c r="J377" t="s">
        <v>1972</v>
      </c>
      <c r="K377" t="s">
        <v>1938</v>
      </c>
      <c r="L377" t="s">
        <v>6213</v>
      </c>
      <c r="M377" t="s">
        <v>6193</v>
      </c>
      <c r="N377">
        <v>0.2</v>
      </c>
      <c r="O377">
        <v>3.375</v>
      </c>
      <c r="P377">
        <v>1.6875</v>
      </c>
      <c r="Q377">
        <v>0.30374999999999996</v>
      </c>
      <c r="R377" s="5">
        <v>6.75</v>
      </c>
    </row>
    <row r="378" spans="1:18" x14ac:dyDescent="0.25">
      <c r="A378" t="s">
        <v>762</v>
      </c>
      <c r="B378" s="7">
        <v>44097</v>
      </c>
      <c r="C378" t="str">
        <f>TEXT(Table3[[#This Row],[Order Date]],"yyyy")</f>
        <v>2020</v>
      </c>
      <c r="D378" t="s">
        <v>6228</v>
      </c>
      <c r="E378" t="s">
        <v>763</v>
      </c>
      <c r="F378" t="s">
        <v>28</v>
      </c>
      <c r="G378">
        <v>1</v>
      </c>
      <c r="H378" t="s">
        <v>3623</v>
      </c>
      <c r="I378" t="s">
        <v>6210</v>
      </c>
      <c r="J378" t="s">
        <v>2044</v>
      </c>
      <c r="K378" t="s">
        <v>1938</v>
      </c>
      <c r="L378" t="s">
        <v>6211</v>
      </c>
      <c r="M378" t="s">
        <v>6193</v>
      </c>
      <c r="N378">
        <v>0.5</v>
      </c>
      <c r="O378">
        <v>5.97</v>
      </c>
      <c r="P378">
        <v>1.194</v>
      </c>
      <c r="Q378">
        <v>0.35819999999999996</v>
      </c>
      <c r="R378" s="5">
        <v>5.97</v>
      </c>
    </row>
    <row r="379" spans="1:18" x14ac:dyDescent="0.25">
      <c r="A379" t="s">
        <v>764</v>
      </c>
      <c r="B379" s="7">
        <v>43532</v>
      </c>
      <c r="C379" t="str">
        <f>TEXT(Table3[[#This Row],[Order Date]],"yyyy")</f>
        <v>2019</v>
      </c>
      <c r="D379" t="s">
        <v>6234</v>
      </c>
      <c r="E379" t="s">
        <v>765</v>
      </c>
      <c r="F379" t="s">
        <v>107</v>
      </c>
      <c r="G379">
        <v>3</v>
      </c>
      <c r="H379" t="s">
        <v>3627</v>
      </c>
      <c r="I379" t="s">
        <v>1945</v>
      </c>
      <c r="J379" t="s">
        <v>2928</v>
      </c>
      <c r="K379" t="s">
        <v>1947</v>
      </c>
      <c r="L379" t="s">
        <v>6211</v>
      </c>
      <c r="M379" t="s">
        <v>6195</v>
      </c>
      <c r="N379">
        <v>0.2</v>
      </c>
      <c r="O379">
        <v>2.6849999999999996</v>
      </c>
      <c r="P379">
        <v>1.3424999999999998</v>
      </c>
      <c r="Q379">
        <v>0.16109999999999997</v>
      </c>
      <c r="R379" s="5">
        <v>8.0549999999999997</v>
      </c>
    </row>
    <row r="380" spans="1:18" x14ac:dyDescent="0.25">
      <c r="A380" t="s">
        <v>766</v>
      </c>
      <c r="B380" s="7">
        <v>44377</v>
      </c>
      <c r="C380" t="str">
        <f>TEXT(Table3[[#This Row],[Order Date]],"yyyy")</f>
        <v>2021</v>
      </c>
      <c r="D380" t="s">
        <v>6229</v>
      </c>
      <c r="E380" t="s">
        <v>767</v>
      </c>
      <c r="F380" t="s">
        <v>198</v>
      </c>
      <c r="G380">
        <v>3</v>
      </c>
      <c r="H380" t="s">
        <v>3631</v>
      </c>
      <c r="I380" t="s">
        <v>1945</v>
      </c>
      <c r="J380" t="s">
        <v>3635</v>
      </c>
      <c r="K380" t="s">
        <v>1938</v>
      </c>
      <c r="L380" t="s">
        <v>6213</v>
      </c>
      <c r="M380" t="s">
        <v>6215</v>
      </c>
      <c r="N380">
        <v>0.5</v>
      </c>
      <c r="O380">
        <v>7.77</v>
      </c>
      <c r="P380">
        <v>1.5539999999999998</v>
      </c>
      <c r="Q380">
        <v>0.69929999999999992</v>
      </c>
      <c r="R380" s="5">
        <v>23.31</v>
      </c>
    </row>
    <row r="381" spans="1:18" x14ac:dyDescent="0.25">
      <c r="A381" t="s">
        <v>768</v>
      </c>
      <c r="B381" s="7">
        <v>43690</v>
      </c>
      <c r="C381" t="str">
        <f>TEXT(Table3[[#This Row],[Order Date]],"yyyy")</f>
        <v>2019</v>
      </c>
      <c r="D381" t="s">
        <v>6231</v>
      </c>
      <c r="E381" t="s">
        <v>769</v>
      </c>
      <c r="F381" t="s">
        <v>163</v>
      </c>
      <c r="G381">
        <v>6</v>
      </c>
      <c r="H381" t="s">
        <v>3636</v>
      </c>
      <c r="I381" t="s">
        <v>2112</v>
      </c>
      <c r="J381" t="s">
        <v>3639</v>
      </c>
      <c r="K381" t="s">
        <v>1938</v>
      </c>
      <c r="L381" t="s">
        <v>6211</v>
      </c>
      <c r="M381" t="s">
        <v>6215</v>
      </c>
      <c r="N381">
        <v>0.5</v>
      </c>
      <c r="O381">
        <v>7.169999999999999</v>
      </c>
      <c r="P381">
        <v>1.4339999999999997</v>
      </c>
      <c r="Q381">
        <v>0.43019999999999992</v>
      </c>
      <c r="R381" s="5">
        <v>43.019999999999996</v>
      </c>
    </row>
    <row r="382" spans="1:18" x14ac:dyDescent="0.25">
      <c r="A382" t="s">
        <v>770</v>
      </c>
      <c r="B382" s="7">
        <v>44249</v>
      </c>
      <c r="C382" t="str">
        <f>TEXT(Table3[[#This Row],[Order Date]],"yyyy")</f>
        <v>2021</v>
      </c>
      <c r="D382" t="s">
        <v>6238</v>
      </c>
      <c r="E382" t="s">
        <v>670</v>
      </c>
      <c r="F382" t="s">
        <v>129</v>
      </c>
      <c r="G382">
        <v>3</v>
      </c>
      <c r="H382" t="s">
        <v>3415</v>
      </c>
      <c r="I382" t="s">
        <v>6210</v>
      </c>
      <c r="J382" t="s">
        <v>2168</v>
      </c>
      <c r="K382" t="s">
        <v>1947</v>
      </c>
      <c r="L382" t="s">
        <v>6199</v>
      </c>
      <c r="M382" t="s">
        <v>6195</v>
      </c>
      <c r="N382">
        <v>0.5</v>
      </c>
      <c r="O382">
        <v>7.77</v>
      </c>
      <c r="P382">
        <v>1.5539999999999998</v>
      </c>
      <c r="Q382">
        <v>1.0101</v>
      </c>
      <c r="R382" s="5">
        <v>23.31</v>
      </c>
    </row>
    <row r="383" spans="1:18" x14ac:dyDescent="0.25">
      <c r="A383" t="s">
        <v>771</v>
      </c>
      <c r="B383" s="7">
        <v>44646</v>
      </c>
      <c r="C383" t="str">
        <f>TEXT(Table3[[#This Row],[Order Date]],"yyyy")</f>
        <v>2022</v>
      </c>
      <c r="D383" t="s">
        <v>6234</v>
      </c>
      <c r="E383" t="s">
        <v>772</v>
      </c>
      <c r="F383" t="s">
        <v>60</v>
      </c>
      <c r="G383">
        <v>5</v>
      </c>
      <c r="H383" t="s">
        <v>3646</v>
      </c>
      <c r="I383" t="s">
        <v>6210</v>
      </c>
      <c r="J383" t="s">
        <v>1982</v>
      </c>
      <c r="K383" t="s">
        <v>1938</v>
      </c>
      <c r="L383" t="s">
        <v>6213</v>
      </c>
      <c r="M383" t="s">
        <v>6195</v>
      </c>
      <c r="N383">
        <v>0.2</v>
      </c>
      <c r="O383">
        <v>2.9849999999999999</v>
      </c>
      <c r="P383">
        <v>1.4924999999999999</v>
      </c>
      <c r="Q383">
        <v>0.26865</v>
      </c>
      <c r="R383" s="5">
        <v>14.924999999999999</v>
      </c>
    </row>
    <row r="384" spans="1:18" x14ac:dyDescent="0.25">
      <c r="A384" t="s">
        <v>773</v>
      </c>
      <c r="B384" s="7">
        <v>43840</v>
      </c>
      <c r="C384" t="str">
        <f>TEXT(Table3[[#This Row],[Order Date]],"yyyy")</f>
        <v>2020</v>
      </c>
      <c r="D384" t="s">
        <v>6232</v>
      </c>
      <c r="E384" t="s">
        <v>774</v>
      </c>
      <c r="F384" t="s">
        <v>22</v>
      </c>
      <c r="G384">
        <v>3</v>
      </c>
      <c r="H384" t="s">
        <v>3650</v>
      </c>
      <c r="I384" t="s">
        <v>6210</v>
      </c>
      <c r="J384" t="s">
        <v>3311</v>
      </c>
      <c r="K384" t="s">
        <v>1947</v>
      </c>
      <c r="L384" t="s">
        <v>6212</v>
      </c>
      <c r="M384" t="s">
        <v>6195</v>
      </c>
      <c r="N384">
        <v>0.5</v>
      </c>
      <c r="O384">
        <v>7.29</v>
      </c>
      <c r="P384">
        <v>1.458</v>
      </c>
      <c r="Q384">
        <v>0.80190000000000006</v>
      </c>
      <c r="R384" s="5">
        <v>21.87</v>
      </c>
    </row>
    <row r="385" spans="1:18" x14ac:dyDescent="0.25">
      <c r="A385" t="s">
        <v>775</v>
      </c>
      <c r="B385" s="7">
        <v>43586</v>
      </c>
      <c r="C385" t="str">
        <f>TEXT(Table3[[#This Row],[Order Date]],"yyyy")</f>
        <v>2019</v>
      </c>
      <c r="D385" t="s">
        <v>6233</v>
      </c>
      <c r="E385" t="s">
        <v>776</v>
      </c>
      <c r="F385" t="s">
        <v>182</v>
      </c>
      <c r="G385">
        <v>6</v>
      </c>
      <c r="H385" t="s">
        <v>3654</v>
      </c>
      <c r="I385" t="s">
        <v>6210</v>
      </c>
      <c r="J385" t="s">
        <v>3657</v>
      </c>
      <c r="K385" t="s">
        <v>1938</v>
      </c>
      <c r="L385" t="s">
        <v>6212</v>
      </c>
      <c r="M385" t="s">
        <v>6215</v>
      </c>
      <c r="N385">
        <v>0.5</v>
      </c>
      <c r="O385">
        <v>8.91</v>
      </c>
      <c r="P385">
        <v>1.782</v>
      </c>
      <c r="Q385">
        <v>0.98009999999999997</v>
      </c>
      <c r="R385" s="5">
        <v>53.46</v>
      </c>
    </row>
    <row r="386" spans="1:18" x14ac:dyDescent="0.25">
      <c r="A386" t="s">
        <v>777</v>
      </c>
      <c r="B386" s="7">
        <v>43870</v>
      </c>
      <c r="C386" t="str">
        <f>TEXT(Table3[[#This Row],[Order Date]],"yyyy")</f>
        <v>2020</v>
      </c>
      <c r="D386" t="s">
        <v>6238</v>
      </c>
      <c r="E386" t="s">
        <v>778</v>
      </c>
      <c r="F386" t="s">
        <v>210</v>
      </c>
      <c r="G386">
        <v>4</v>
      </c>
      <c r="H386" t="s">
        <v>3658</v>
      </c>
      <c r="I386" t="s">
        <v>6210</v>
      </c>
      <c r="J386" t="s">
        <v>2321</v>
      </c>
      <c r="K386" t="s">
        <v>1947</v>
      </c>
      <c r="L386" t="s">
        <v>6213</v>
      </c>
      <c r="M386" t="s">
        <v>6215</v>
      </c>
      <c r="N386">
        <v>2.5</v>
      </c>
      <c r="O386">
        <v>29.784999999999997</v>
      </c>
      <c r="P386">
        <v>1.1913999999999998</v>
      </c>
      <c r="Q386">
        <v>2.6806499999999995</v>
      </c>
      <c r="R386" s="5">
        <v>119.13999999999999</v>
      </c>
    </row>
    <row r="387" spans="1:18" x14ac:dyDescent="0.25">
      <c r="A387" t="s">
        <v>779</v>
      </c>
      <c r="B387" s="7">
        <v>44559</v>
      </c>
      <c r="C387" t="str">
        <f>TEXT(Table3[[#This Row],[Order Date]],"yyyy")</f>
        <v>2021</v>
      </c>
      <c r="D387" t="s">
        <v>6237</v>
      </c>
      <c r="E387" t="s">
        <v>780</v>
      </c>
      <c r="F387" t="s">
        <v>84</v>
      </c>
      <c r="G387">
        <v>5</v>
      </c>
      <c r="H387" t="s">
        <v>3661</v>
      </c>
      <c r="I387" t="s">
        <v>6210</v>
      </c>
      <c r="J387" t="s">
        <v>2371</v>
      </c>
      <c r="K387" t="s">
        <v>1938</v>
      </c>
      <c r="L387" t="s">
        <v>6199</v>
      </c>
      <c r="M387" t="s">
        <v>6193</v>
      </c>
      <c r="N387">
        <v>0.5</v>
      </c>
      <c r="O387">
        <v>8.73</v>
      </c>
      <c r="P387">
        <v>1.746</v>
      </c>
      <c r="Q387">
        <v>1.1349</v>
      </c>
      <c r="R387" s="5">
        <v>43.650000000000006</v>
      </c>
    </row>
    <row r="388" spans="1:18" x14ac:dyDescent="0.25">
      <c r="A388" t="s">
        <v>781</v>
      </c>
      <c r="B388" s="7">
        <v>44083</v>
      </c>
      <c r="C388" t="str">
        <f>TEXT(Table3[[#This Row],[Order Date]],"yyyy")</f>
        <v>2020</v>
      </c>
      <c r="D388" t="s">
        <v>6228</v>
      </c>
      <c r="E388" t="s">
        <v>782</v>
      </c>
      <c r="F388" t="s">
        <v>60</v>
      </c>
      <c r="G388">
        <v>6</v>
      </c>
      <c r="H388" t="s">
        <v>3665</v>
      </c>
      <c r="I388" t="s">
        <v>6210</v>
      </c>
      <c r="J388" t="s">
        <v>1958</v>
      </c>
      <c r="K388" t="s">
        <v>1938</v>
      </c>
      <c r="L388" t="s">
        <v>6213</v>
      </c>
      <c r="M388" t="s">
        <v>6195</v>
      </c>
      <c r="N388">
        <v>0.2</v>
      </c>
      <c r="O388">
        <v>2.9849999999999999</v>
      </c>
      <c r="P388">
        <v>1.4924999999999999</v>
      </c>
      <c r="Q388">
        <v>0.26865</v>
      </c>
      <c r="R388" s="5">
        <v>17.91</v>
      </c>
    </row>
    <row r="389" spans="1:18" x14ac:dyDescent="0.25">
      <c r="A389" t="s">
        <v>783</v>
      </c>
      <c r="B389" s="7">
        <v>44455</v>
      </c>
      <c r="C389" t="str">
        <f>TEXT(Table3[[#This Row],[Order Date]],"yyyy")</f>
        <v>2021</v>
      </c>
      <c r="D389" t="s">
        <v>6228</v>
      </c>
      <c r="E389" t="s">
        <v>784</v>
      </c>
      <c r="F389" t="s">
        <v>143</v>
      </c>
      <c r="G389">
        <v>5</v>
      </c>
      <c r="H389" t="s">
        <v>3668</v>
      </c>
      <c r="I389" t="s">
        <v>6210</v>
      </c>
      <c r="J389" t="s">
        <v>3672</v>
      </c>
      <c r="K389" t="s">
        <v>1938</v>
      </c>
      <c r="L389" t="s">
        <v>6212</v>
      </c>
      <c r="M389" t="s">
        <v>6215</v>
      </c>
      <c r="N389">
        <v>1</v>
      </c>
      <c r="O389">
        <v>14.85</v>
      </c>
      <c r="P389">
        <v>1.4849999999999999</v>
      </c>
      <c r="Q389">
        <v>1.6335</v>
      </c>
      <c r="R389" s="5">
        <v>74.25</v>
      </c>
    </row>
    <row r="390" spans="1:18" x14ac:dyDescent="0.25">
      <c r="A390" t="s">
        <v>785</v>
      </c>
      <c r="B390" s="7">
        <v>44130</v>
      </c>
      <c r="C390" t="str">
        <f>TEXT(Table3[[#This Row],[Order Date]],"yyyy")</f>
        <v>2020</v>
      </c>
      <c r="D390" t="s">
        <v>6235</v>
      </c>
      <c r="E390" t="s">
        <v>786</v>
      </c>
      <c r="F390" t="s">
        <v>44</v>
      </c>
      <c r="G390">
        <v>3</v>
      </c>
      <c r="H390" t="s">
        <v>3673</v>
      </c>
      <c r="I390" t="s">
        <v>6210</v>
      </c>
      <c r="J390" t="s">
        <v>3677</v>
      </c>
      <c r="K390" t="s">
        <v>1938</v>
      </c>
      <c r="L390" t="s">
        <v>6199</v>
      </c>
      <c r="M390" t="s">
        <v>6195</v>
      </c>
      <c r="N390">
        <v>0.2</v>
      </c>
      <c r="O390">
        <v>3.8849999999999998</v>
      </c>
      <c r="P390">
        <v>1.9424999999999999</v>
      </c>
      <c r="Q390">
        <v>0.50505</v>
      </c>
      <c r="R390" s="5">
        <v>11.654999999999999</v>
      </c>
    </row>
    <row r="391" spans="1:18" x14ac:dyDescent="0.25">
      <c r="A391" t="s">
        <v>787</v>
      </c>
      <c r="B391" s="7">
        <v>43536</v>
      </c>
      <c r="C391" t="str">
        <f>TEXT(Table3[[#This Row],[Order Date]],"yyyy")</f>
        <v>2019</v>
      </c>
      <c r="D391" t="s">
        <v>6234</v>
      </c>
      <c r="E391" t="s">
        <v>788</v>
      </c>
      <c r="F391" t="s">
        <v>129</v>
      </c>
      <c r="G391">
        <v>3</v>
      </c>
      <c r="H391" t="s">
        <v>3678</v>
      </c>
      <c r="I391" t="s">
        <v>6210</v>
      </c>
      <c r="J391" t="s">
        <v>3682</v>
      </c>
      <c r="K391" t="s">
        <v>1938</v>
      </c>
      <c r="L391" t="s">
        <v>6199</v>
      </c>
      <c r="M391" t="s">
        <v>6195</v>
      </c>
      <c r="N391">
        <v>0.5</v>
      </c>
      <c r="O391">
        <v>7.77</v>
      </c>
      <c r="P391">
        <v>1.5539999999999998</v>
      </c>
      <c r="Q391">
        <v>1.0101</v>
      </c>
      <c r="R391" s="5">
        <v>23.31</v>
      </c>
    </row>
    <row r="392" spans="1:18" x14ac:dyDescent="0.25">
      <c r="A392" t="s">
        <v>789</v>
      </c>
      <c r="B392" s="7">
        <v>44245</v>
      </c>
      <c r="C392" t="str">
        <f>TEXT(Table3[[#This Row],[Order Date]],"yyyy")</f>
        <v>2021</v>
      </c>
      <c r="D392" t="s">
        <v>6238</v>
      </c>
      <c r="E392" t="s">
        <v>790</v>
      </c>
      <c r="F392" t="s">
        <v>22</v>
      </c>
      <c r="G392">
        <v>2</v>
      </c>
      <c r="H392" t="s">
        <v>3683</v>
      </c>
      <c r="I392" t="s">
        <v>6210</v>
      </c>
      <c r="J392" t="s">
        <v>2229</v>
      </c>
      <c r="K392" t="s">
        <v>1938</v>
      </c>
      <c r="L392" t="s">
        <v>6212</v>
      </c>
      <c r="M392" t="s">
        <v>6195</v>
      </c>
      <c r="N392">
        <v>0.5</v>
      </c>
      <c r="O392">
        <v>7.29</v>
      </c>
      <c r="P392">
        <v>1.458</v>
      </c>
      <c r="Q392">
        <v>0.80190000000000006</v>
      </c>
      <c r="R392" s="5">
        <v>14.58</v>
      </c>
    </row>
    <row r="393" spans="1:18" x14ac:dyDescent="0.25">
      <c r="A393" t="s">
        <v>791</v>
      </c>
      <c r="B393" s="7">
        <v>44133</v>
      </c>
      <c r="C393" t="str">
        <f>TEXT(Table3[[#This Row],[Order Date]],"yyyy")</f>
        <v>2020</v>
      </c>
      <c r="D393" t="s">
        <v>6235</v>
      </c>
      <c r="E393" t="s">
        <v>792</v>
      </c>
      <c r="F393" t="s">
        <v>73</v>
      </c>
      <c r="G393">
        <v>2</v>
      </c>
      <c r="H393" t="s">
        <v>3686</v>
      </c>
      <c r="I393" t="s">
        <v>6210</v>
      </c>
      <c r="J393" t="s">
        <v>2133</v>
      </c>
      <c r="K393" t="s">
        <v>1947</v>
      </c>
      <c r="L393" t="s">
        <v>6213</v>
      </c>
      <c r="M393" t="s">
        <v>6193</v>
      </c>
      <c r="N393">
        <v>0.5</v>
      </c>
      <c r="O393">
        <v>6.75</v>
      </c>
      <c r="P393">
        <v>1.35</v>
      </c>
      <c r="Q393">
        <v>0.60749999999999993</v>
      </c>
      <c r="R393" s="5">
        <v>13.5</v>
      </c>
    </row>
    <row r="394" spans="1:18" x14ac:dyDescent="0.25">
      <c r="A394" t="s">
        <v>793</v>
      </c>
      <c r="B394" s="7">
        <v>44445</v>
      </c>
      <c r="C394" t="str">
        <f>TEXT(Table3[[#This Row],[Order Date]],"yyyy")</f>
        <v>2021</v>
      </c>
      <c r="D394" t="s">
        <v>6228</v>
      </c>
      <c r="E394" t="s">
        <v>794</v>
      </c>
      <c r="F394" t="s">
        <v>143</v>
      </c>
      <c r="G394">
        <v>6</v>
      </c>
      <c r="H394" t="s">
        <v>3689</v>
      </c>
      <c r="I394" t="s">
        <v>6210</v>
      </c>
      <c r="J394" t="s">
        <v>2568</v>
      </c>
      <c r="K394" t="s">
        <v>1947</v>
      </c>
      <c r="L394" t="s">
        <v>6212</v>
      </c>
      <c r="M394" t="s">
        <v>6215</v>
      </c>
      <c r="N394">
        <v>1</v>
      </c>
      <c r="O394">
        <v>14.85</v>
      </c>
      <c r="P394">
        <v>1.4849999999999999</v>
      </c>
      <c r="Q394">
        <v>1.6335</v>
      </c>
      <c r="R394" s="5">
        <v>89.1</v>
      </c>
    </row>
    <row r="395" spans="1:18" x14ac:dyDescent="0.25">
      <c r="A395" t="s">
        <v>793</v>
      </c>
      <c r="B395" s="7">
        <v>44445</v>
      </c>
      <c r="C395" t="str">
        <f>TEXT(Table3[[#This Row],[Order Date]],"yyyy")</f>
        <v>2021</v>
      </c>
      <c r="D395" t="s">
        <v>6228</v>
      </c>
      <c r="E395" t="s">
        <v>794</v>
      </c>
      <c r="F395" t="s">
        <v>121</v>
      </c>
      <c r="G395">
        <v>1</v>
      </c>
      <c r="H395" t="s">
        <v>3689</v>
      </c>
      <c r="I395" t="s">
        <v>6210</v>
      </c>
      <c r="J395" t="s">
        <v>2568</v>
      </c>
      <c r="K395" t="s">
        <v>1947</v>
      </c>
      <c r="L395" t="s">
        <v>6213</v>
      </c>
      <c r="M395" t="s">
        <v>6215</v>
      </c>
      <c r="N395">
        <v>0.2</v>
      </c>
      <c r="O395">
        <v>3.8849999999999998</v>
      </c>
      <c r="P395">
        <v>1.9424999999999999</v>
      </c>
      <c r="Q395">
        <v>0.34964999999999996</v>
      </c>
      <c r="R395" s="5">
        <v>3.8849999999999998</v>
      </c>
    </row>
    <row r="396" spans="1:18" x14ac:dyDescent="0.25">
      <c r="A396" t="s">
        <v>795</v>
      </c>
      <c r="B396" s="7">
        <v>44083</v>
      </c>
      <c r="C396" t="str">
        <f>TEXT(Table3[[#This Row],[Order Date]],"yyyy")</f>
        <v>2020</v>
      </c>
      <c r="D396" t="s">
        <v>6228</v>
      </c>
      <c r="E396" t="s">
        <v>796</v>
      </c>
      <c r="F396" t="s">
        <v>16</v>
      </c>
      <c r="G396">
        <v>4</v>
      </c>
      <c r="H396" t="s">
        <v>3699</v>
      </c>
      <c r="I396" t="s">
        <v>6210</v>
      </c>
      <c r="J396" t="s">
        <v>2133</v>
      </c>
      <c r="K396" t="s">
        <v>1947</v>
      </c>
      <c r="L396" t="s">
        <v>6211</v>
      </c>
      <c r="M396" t="s">
        <v>6215</v>
      </c>
      <c r="N396">
        <v>2.5</v>
      </c>
      <c r="O396">
        <v>27.484999999999996</v>
      </c>
      <c r="P396">
        <v>1.0993999999999999</v>
      </c>
      <c r="Q396">
        <v>1.6490999999999998</v>
      </c>
      <c r="R396" s="5">
        <v>109.93999999999998</v>
      </c>
    </row>
    <row r="397" spans="1:18" x14ac:dyDescent="0.25">
      <c r="A397" t="s">
        <v>797</v>
      </c>
      <c r="B397" s="7">
        <v>44465</v>
      </c>
      <c r="C397" t="str">
        <f>TEXT(Table3[[#This Row],[Order Date]],"yyyy")</f>
        <v>2021</v>
      </c>
      <c r="D397" t="s">
        <v>6228</v>
      </c>
      <c r="E397" t="s">
        <v>798</v>
      </c>
      <c r="F397" t="s">
        <v>129</v>
      </c>
      <c r="G397">
        <v>6</v>
      </c>
      <c r="H397" t="s">
        <v>3703</v>
      </c>
      <c r="I397" t="s">
        <v>6210</v>
      </c>
      <c r="J397" t="s">
        <v>2182</v>
      </c>
      <c r="K397" t="s">
        <v>1938</v>
      </c>
      <c r="L397" t="s">
        <v>6199</v>
      </c>
      <c r="M397" t="s">
        <v>6195</v>
      </c>
      <c r="N397">
        <v>0.5</v>
      </c>
      <c r="O397">
        <v>7.77</v>
      </c>
      <c r="P397">
        <v>1.5539999999999998</v>
      </c>
      <c r="Q397">
        <v>1.0101</v>
      </c>
      <c r="R397" s="5">
        <v>46.62</v>
      </c>
    </row>
    <row r="398" spans="1:18" x14ac:dyDescent="0.25">
      <c r="A398" t="s">
        <v>799</v>
      </c>
      <c r="B398" s="7">
        <v>44140</v>
      </c>
      <c r="C398" t="str">
        <f>TEXT(Table3[[#This Row],[Order Date]],"yyyy")</f>
        <v>2020</v>
      </c>
      <c r="D398" t="s">
        <v>6239</v>
      </c>
      <c r="E398" t="s">
        <v>800</v>
      </c>
      <c r="F398" t="s">
        <v>198</v>
      </c>
      <c r="G398">
        <v>5</v>
      </c>
      <c r="H398" t="s">
        <v>3706</v>
      </c>
      <c r="I398" t="s">
        <v>6210</v>
      </c>
      <c r="J398" t="s">
        <v>2173</v>
      </c>
      <c r="K398" t="s">
        <v>1947</v>
      </c>
      <c r="L398" t="s">
        <v>6213</v>
      </c>
      <c r="M398" t="s">
        <v>6215</v>
      </c>
      <c r="N398">
        <v>0.5</v>
      </c>
      <c r="O398">
        <v>7.77</v>
      </c>
      <c r="P398">
        <v>1.5539999999999998</v>
      </c>
      <c r="Q398">
        <v>0.69929999999999992</v>
      </c>
      <c r="R398" s="5">
        <v>38.849999999999994</v>
      </c>
    </row>
    <row r="399" spans="1:18" x14ac:dyDescent="0.25">
      <c r="A399" t="s">
        <v>801</v>
      </c>
      <c r="B399" s="7">
        <v>43720</v>
      </c>
      <c r="C399" t="str">
        <f>TEXT(Table3[[#This Row],[Order Date]],"yyyy")</f>
        <v>2019</v>
      </c>
      <c r="D399" t="s">
        <v>6228</v>
      </c>
      <c r="E399" t="s">
        <v>802</v>
      </c>
      <c r="F399" t="s">
        <v>129</v>
      </c>
      <c r="G399">
        <v>4</v>
      </c>
      <c r="H399" t="s">
        <v>3710</v>
      </c>
      <c r="I399" t="s">
        <v>6210</v>
      </c>
      <c r="J399" t="s">
        <v>2159</v>
      </c>
      <c r="K399" t="s">
        <v>1938</v>
      </c>
      <c r="L399" t="s">
        <v>6199</v>
      </c>
      <c r="M399" t="s">
        <v>6195</v>
      </c>
      <c r="N399">
        <v>0.5</v>
      </c>
      <c r="O399">
        <v>7.77</v>
      </c>
      <c r="P399">
        <v>1.5539999999999998</v>
      </c>
      <c r="Q399">
        <v>1.0101</v>
      </c>
      <c r="R399" s="5">
        <v>31.08</v>
      </c>
    </row>
    <row r="400" spans="1:18" x14ac:dyDescent="0.25">
      <c r="A400" t="s">
        <v>803</v>
      </c>
      <c r="B400" s="7">
        <v>43677</v>
      </c>
      <c r="C400" t="str">
        <f>TEXT(Table3[[#This Row],[Order Date]],"yyyy")</f>
        <v>2019</v>
      </c>
      <c r="D400" t="s">
        <v>6230</v>
      </c>
      <c r="E400" t="s">
        <v>804</v>
      </c>
      <c r="F400" t="s">
        <v>60</v>
      </c>
      <c r="G400">
        <v>6</v>
      </c>
      <c r="H400" t="s">
        <v>3714</v>
      </c>
      <c r="I400" t="s">
        <v>6210</v>
      </c>
      <c r="J400" t="s">
        <v>2054</v>
      </c>
      <c r="K400" t="s">
        <v>1938</v>
      </c>
      <c r="L400" t="s">
        <v>6213</v>
      </c>
      <c r="M400" t="s">
        <v>6195</v>
      </c>
      <c r="N400">
        <v>0.2</v>
      </c>
      <c r="O400">
        <v>2.9849999999999999</v>
      </c>
      <c r="P400">
        <v>1.4924999999999999</v>
      </c>
      <c r="Q400">
        <v>0.26865</v>
      </c>
      <c r="R400" s="5">
        <v>17.91</v>
      </c>
    </row>
    <row r="401" spans="1:18" x14ac:dyDescent="0.25">
      <c r="A401" t="s">
        <v>805</v>
      </c>
      <c r="B401" s="7">
        <v>43539</v>
      </c>
      <c r="C401" t="str">
        <f>TEXT(Table3[[#This Row],[Order Date]],"yyyy")</f>
        <v>2019</v>
      </c>
      <c r="D401" t="s">
        <v>6234</v>
      </c>
      <c r="E401" t="s">
        <v>806</v>
      </c>
      <c r="F401" t="s">
        <v>536</v>
      </c>
      <c r="G401">
        <v>6</v>
      </c>
      <c r="H401" t="s">
        <v>3718</v>
      </c>
      <c r="I401" t="s">
        <v>2112</v>
      </c>
      <c r="J401" t="s">
        <v>3722</v>
      </c>
      <c r="K401" t="s">
        <v>1947</v>
      </c>
      <c r="L401" t="s">
        <v>6212</v>
      </c>
      <c r="M401" t="s">
        <v>6195</v>
      </c>
      <c r="N401">
        <v>2.5</v>
      </c>
      <c r="O401">
        <v>27.945</v>
      </c>
      <c r="P401">
        <v>1.1177999999999999</v>
      </c>
      <c r="Q401">
        <v>3.07395</v>
      </c>
      <c r="R401" s="5">
        <v>167.67000000000002</v>
      </c>
    </row>
    <row r="402" spans="1:18" x14ac:dyDescent="0.25">
      <c r="A402" t="s">
        <v>807</v>
      </c>
      <c r="B402" s="7">
        <v>44332</v>
      </c>
      <c r="C402" t="str">
        <f>TEXT(Table3[[#This Row],[Order Date]],"yyyy")</f>
        <v>2021</v>
      </c>
      <c r="D402" t="s">
        <v>6233</v>
      </c>
      <c r="E402" t="s">
        <v>808</v>
      </c>
      <c r="F402" t="s">
        <v>138</v>
      </c>
      <c r="G402">
        <v>4</v>
      </c>
      <c r="H402" t="s">
        <v>3724</v>
      </c>
      <c r="I402" t="s">
        <v>6210</v>
      </c>
      <c r="J402" t="s">
        <v>2182</v>
      </c>
      <c r="K402" t="s">
        <v>1947</v>
      </c>
      <c r="L402" t="s">
        <v>6199</v>
      </c>
      <c r="M402" t="s">
        <v>6215</v>
      </c>
      <c r="N402">
        <v>1</v>
      </c>
      <c r="O402">
        <v>15.85</v>
      </c>
      <c r="P402">
        <v>1.585</v>
      </c>
      <c r="Q402">
        <v>2.0605000000000002</v>
      </c>
      <c r="R402" s="5">
        <v>63.4</v>
      </c>
    </row>
    <row r="403" spans="1:18" x14ac:dyDescent="0.25">
      <c r="A403" t="s">
        <v>809</v>
      </c>
      <c r="B403" s="7">
        <v>43591</v>
      </c>
      <c r="C403" t="str">
        <f>TEXT(Table3[[#This Row],[Order Date]],"yyyy")</f>
        <v>2019</v>
      </c>
      <c r="D403" t="s">
        <v>6233</v>
      </c>
      <c r="E403" t="s">
        <v>810</v>
      </c>
      <c r="F403" t="s">
        <v>83</v>
      </c>
      <c r="G403">
        <v>2</v>
      </c>
      <c r="H403" t="s">
        <v>3728</v>
      </c>
      <c r="I403" t="s">
        <v>6210</v>
      </c>
      <c r="J403" t="s">
        <v>3407</v>
      </c>
      <c r="K403" t="s">
        <v>1938</v>
      </c>
      <c r="L403" t="s">
        <v>6199</v>
      </c>
      <c r="M403" t="s">
        <v>6193</v>
      </c>
      <c r="N403">
        <v>0.2</v>
      </c>
      <c r="O403">
        <v>4.3650000000000002</v>
      </c>
      <c r="P403">
        <v>2.1825000000000001</v>
      </c>
      <c r="Q403">
        <v>0.56745000000000001</v>
      </c>
      <c r="R403" s="5">
        <v>8.73</v>
      </c>
    </row>
    <row r="404" spans="1:18" x14ac:dyDescent="0.25">
      <c r="A404" t="s">
        <v>811</v>
      </c>
      <c r="B404" s="7">
        <v>43502</v>
      </c>
      <c r="C404" t="str">
        <f>TEXT(Table3[[#This Row],[Order Date]],"yyyy")</f>
        <v>2019</v>
      </c>
      <c r="D404" t="s">
        <v>6238</v>
      </c>
      <c r="E404" t="s">
        <v>812</v>
      </c>
      <c r="F404" t="s">
        <v>185</v>
      </c>
      <c r="G404">
        <v>3</v>
      </c>
      <c r="H404" t="s">
        <v>3732</v>
      </c>
      <c r="I404" t="s">
        <v>6210</v>
      </c>
      <c r="J404" t="s">
        <v>2118</v>
      </c>
      <c r="K404" t="s">
        <v>1938</v>
      </c>
      <c r="L404" t="s">
        <v>6211</v>
      </c>
      <c r="M404" t="s">
        <v>6195</v>
      </c>
      <c r="N404">
        <v>1</v>
      </c>
      <c r="O404">
        <v>8.9499999999999993</v>
      </c>
      <c r="P404">
        <v>0.89499999999999991</v>
      </c>
      <c r="Q404">
        <v>0.53699999999999992</v>
      </c>
      <c r="R404" s="5">
        <v>26.849999999999998</v>
      </c>
    </row>
    <row r="405" spans="1:18" x14ac:dyDescent="0.25">
      <c r="A405" t="s">
        <v>813</v>
      </c>
      <c r="B405" s="7">
        <v>44295</v>
      </c>
      <c r="C405" t="str">
        <f>TEXT(Table3[[#This Row],[Order Date]],"yyyy")</f>
        <v>2021</v>
      </c>
      <c r="D405" t="s">
        <v>6236</v>
      </c>
      <c r="E405" t="s">
        <v>814</v>
      </c>
      <c r="F405" t="s">
        <v>25</v>
      </c>
      <c r="G405">
        <v>2</v>
      </c>
      <c r="H405" t="s">
        <v>3736</v>
      </c>
      <c r="I405" t="s">
        <v>6210</v>
      </c>
      <c r="J405" t="s">
        <v>2321</v>
      </c>
      <c r="K405" t="s">
        <v>1947</v>
      </c>
      <c r="L405" t="s">
        <v>6199</v>
      </c>
      <c r="M405" t="s">
        <v>6215</v>
      </c>
      <c r="N405">
        <v>0.2</v>
      </c>
      <c r="O405">
        <v>4.7549999999999999</v>
      </c>
      <c r="P405">
        <v>2.3774999999999999</v>
      </c>
      <c r="Q405">
        <v>0.61814999999999998</v>
      </c>
      <c r="R405" s="5">
        <v>9.51</v>
      </c>
    </row>
    <row r="406" spans="1:18" x14ac:dyDescent="0.25">
      <c r="A406" t="s">
        <v>815</v>
      </c>
      <c r="B406" s="7">
        <v>43971</v>
      </c>
      <c r="C406" t="str">
        <f>TEXT(Table3[[#This Row],[Order Date]],"yyyy")</f>
        <v>2020</v>
      </c>
      <c r="D406" t="s">
        <v>6233</v>
      </c>
      <c r="E406" t="s">
        <v>816</v>
      </c>
      <c r="F406" t="s">
        <v>33</v>
      </c>
      <c r="G406">
        <v>4</v>
      </c>
      <c r="H406" t="s">
        <v>3740</v>
      </c>
      <c r="I406" t="s">
        <v>1945</v>
      </c>
      <c r="J406" t="s">
        <v>3744</v>
      </c>
      <c r="K406" t="s">
        <v>1947</v>
      </c>
      <c r="L406" t="s">
        <v>6213</v>
      </c>
      <c r="M406" t="s">
        <v>6195</v>
      </c>
      <c r="N406">
        <v>1</v>
      </c>
      <c r="O406">
        <v>9.9499999999999993</v>
      </c>
      <c r="P406">
        <v>0.99499999999999988</v>
      </c>
      <c r="Q406">
        <v>0.89549999999999985</v>
      </c>
      <c r="R406" s="5">
        <v>39.799999999999997</v>
      </c>
    </row>
    <row r="407" spans="1:18" x14ac:dyDescent="0.25">
      <c r="A407" t="s">
        <v>817</v>
      </c>
      <c r="B407" s="7">
        <v>44167</v>
      </c>
      <c r="C407" t="str">
        <f>TEXT(Table3[[#This Row],[Order Date]],"yyyy")</f>
        <v>2020</v>
      </c>
      <c r="D407" t="s">
        <v>6237</v>
      </c>
      <c r="E407" t="s">
        <v>818</v>
      </c>
      <c r="F407" t="s">
        <v>9</v>
      </c>
      <c r="G407">
        <v>3</v>
      </c>
      <c r="H407" t="s">
        <v>3746</v>
      </c>
      <c r="I407" t="s">
        <v>6210</v>
      </c>
      <c r="J407" t="s">
        <v>3750</v>
      </c>
      <c r="K407" t="s">
        <v>1938</v>
      </c>
      <c r="L407" t="s">
        <v>6212</v>
      </c>
      <c r="M407" t="s">
        <v>6193</v>
      </c>
      <c r="N407">
        <v>0.5</v>
      </c>
      <c r="O407">
        <v>8.25</v>
      </c>
      <c r="P407">
        <v>1.65</v>
      </c>
      <c r="Q407">
        <v>0.90749999999999997</v>
      </c>
      <c r="R407" s="5">
        <v>24.75</v>
      </c>
    </row>
    <row r="408" spans="1:18" x14ac:dyDescent="0.25">
      <c r="A408" t="s">
        <v>819</v>
      </c>
      <c r="B408" s="7">
        <v>44416</v>
      </c>
      <c r="C408" t="str">
        <f>TEXT(Table3[[#This Row],[Order Date]],"yyyy")</f>
        <v>2021</v>
      </c>
      <c r="D408" t="s">
        <v>6231</v>
      </c>
      <c r="E408" t="s">
        <v>820</v>
      </c>
      <c r="F408" t="s">
        <v>15</v>
      </c>
      <c r="G408">
        <v>5</v>
      </c>
      <c r="H408" t="s">
        <v>3751</v>
      </c>
      <c r="I408" t="s">
        <v>6210</v>
      </c>
      <c r="J408" t="s">
        <v>2123</v>
      </c>
      <c r="K408" t="s">
        <v>1938</v>
      </c>
      <c r="L408" t="s">
        <v>6212</v>
      </c>
      <c r="M408" t="s">
        <v>6193</v>
      </c>
      <c r="N408">
        <v>1</v>
      </c>
      <c r="O408">
        <v>13.75</v>
      </c>
      <c r="P408">
        <v>1.375</v>
      </c>
      <c r="Q408">
        <v>1.5125</v>
      </c>
      <c r="R408" s="5">
        <v>68.75</v>
      </c>
    </row>
    <row r="409" spans="1:18" x14ac:dyDescent="0.25">
      <c r="A409" t="s">
        <v>821</v>
      </c>
      <c r="B409" s="7">
        <v>44595</v>
      </c>
      <c r="C409" t="str">
        <f>TEXT(Table3[[#This Row],[Order Date]],"yyyy")</f>
        <v>2022</v>
      </c>
      <c r="D409" t="s">
        <v>6238</v>
      </c>
      <c r="E409" t="s">
        <v>822</v>
      </c>
      <c r="F409" t="s">
        <v>9</v>
      </c>
      <c r="G409">
        <v>6</v>
      </c>
      <c r="H409" t="s">
        <v>3755</v>
      </c>
      <c r="I409" t="s">
        <v>1945</v>
      </c>
      <c r="J409" t="s">
        <v>3758</v>
      </c>
      <c r="K409" t="s">
        <v>1947</v>
      </c>
      <c r="L409" t="s">
        <v>6212</v>
      </c>
      <c r="M409" t="s">
        <v>6193</v>
      </c>
      <c r="N409">
        <v>0.5</v>
      </c>
      <c r="O409">
        <v>8.25</v>
      </c>
      <c r="P409">
        <v>1.65</v>
      </c>
      <c r="Q409">
        <v>0.90749999999999997</v>
      </c>
      <c r="R409" s="5">
        <v>49.5</v>
      </c>
    </row>
    <row r="410" spans="1:18" x14ac:dyDescent="0.25">
      <c r="A410" t="s">
        <v>823</v>
      </c>
      <c r="B410" s="7">
        <v>44659</v>
      </c>
      <c r="C410" t="str">
        <f>TEXT(Table3[[#This Row],[Order Date]],"yyyy")</f>
        <v>2022</v>
      </c>
      <c r="D410" t="s">
        <v>6236</v>
      </c>
      <c r="E410" t="s">
        <v>824</v>
      </c>
      <c r="F410" t="s">
        <v>177</v>
      </c>
      <c r="G410">
        <v>2</v>
      </c>
      <c r="H410" t="s">
        <v>3760</v>
      </c>
      <c r="I410" t="s">
        <v>6210</v>
      </c>
      <c r="J410" t="s">
        <v>3764</v>
      </c>
      <c r="K410" t="s">
        <v>1938</v>
      </c>
      <c r="L410" t="s">
        <v>6213</v>
      </c>
      <c r="M410" t="s">
        <v>6193</v>
      </c>
      <c r="N410">
        <v>2.5</v>
      </c>
      <c r="O410">
        <v>25.874999999999996</v>
      </c>
      <c r="P410">
        <v>1.0349999999999999</v>
      </c>
      <c r="Q410">
        <v>2.3287499999999994</v>
      </c>
      <c r="R410" s="5">
        <v>51.749999999999993</v>
      </c>
    </row>
    <row r="411" spans="1:18" x14ac:dyDescent="0.25">
      <c r="A411" t="s">
        <v>825</v>
      </c>
      <c r="B411" s="7">
        <v>44203</v>
      </c>
      <c r="C411" t="str">
        <f>TEXT(Table3[[#This Row],[Order Date]],"yyyy")</f>
        <v>2021</v>
      </c>
      <c r="D411" t="s">
        <v>6232</v>
      </c>
      <c r="E411" t="s">
        <v>826</v>
      </c>
      <c r="F411" t="s">
        <v>138</v>
      </c>
      <c r="G411">
        <v>3</v>
      </c>
      <c r="H411" t="s">
        <v>3765</v>
      </c>
      <c r="I411" t="s">
        <v>1945</v>
      </c>
      <c r="J411" t="s">
        <v>3768</v>
      </c>
      <c r="K411" t="s">
        <v>1938</v>
      </c>
      <c r="L411" t="s">
        <v>6199</v>
      </c>
      <c r="M411" t="s">
        <v>6215</v>
      </c>
      <c r="N411">
        <v>1</v>
      </c>
      <c r="O411">
        <v>15.85</v>
      </c>
      <c r="P411">
        <v>1.585</v>
      </c>
      <c r="Q411">
        <v>2.0605000000000002</v>
      </c>
      <c r="R411" s="5">
        <v>47.55</v>
      </c>
    </row>
    <row r="412" spans="1:18" x14ac:dyDescent="0.25">
      <c r="A412" t="s">
        <v>827</v>
      </c>
      <c r="B412" s="7">
        <v>44441</v>
      </c>
      <c r="C412" t="str">
        <f>TEXT(Table3[[#This Row],[Order Date]],"yyyy")</f>
        <v>2021</v>
      </c>
      <c r="D412" t="s">
        <v>6228</v>
      </c>
      <c r="E412" t="s">
        <v>828</v>
      </c>
      <c r="F412" t="s">
        <v>121</v>
      </c>
      <c r="G412">
        <v>4</v>
      </c>
      <c r="H412" t="s">
        <v>3770</v>
      </c>
      <c r="I412" t="s">
        <v>6210</v>
      </c>
      <c r="J412" t="s">
        <v>3085</v>
      </c>
      <c r="K412" t="s">
        <v>1947</v>
      </c>
      <c r="L412" t="s">
        <v>6213</v>
      </c>
      <c r="M412" t="s">
        <v>6215</v>
      </c>
      <c r="N412">
        <v>0.2</v>
      </c>
      <c r="O412">
        <v>3.8849999999999998</v>
      </c>
      <c r="P412">
        <v>1.9424999999999999</v>
      </c>
      <c r="Q412">
        <v>0.34964999999999996</v>
      </c>
      <c r="R412" s="5">
        <v>15.54</v>
      </c>
    </row>
    <row r="413" spans="1:18" x14ac:dyDescent="0.25">
      <c r="A413" t="s">
        <v>829</v>
      </c>
      <c r="B413" s="7">
        <v>44504</v>
      </c>
      <c r="C413" t="str">
        <f>TEXT(Table3[[#This Row],[Order Date]],"yyyy")</f>
        <v>2021</v>
      </c>
      <c r="D413" t="s">
        <v>6239</v>
      </c>
      <c r="E413" t="s">
        <v>830</v>
      </c>
      <c r="F413" t="s">
        <v>102</v>
      </c>
      <c r="G413">
        <v>6</v>
      </c>
      <c r="H413" t="s">
        <v>3773</v>
      </c>
      <c r="I413" t="s">
        <v>6210</v>
      </c>
      <c r="J413" t="s">
        <v>3776</v>
      </c>
      <c r="K413" t="s">
        <v>1938</v>
      </c>
      <c r="L413" t="s">
        <v>6199</v>
      </c>
      <c r="M413" t="s">
        <v>6193</v>
      </c>
      <c r="N413">
        <v>1</v>
      </c>
      <c r="O413">
        <v>14.55</v>
      </c>
      <c r="P413">
        <v>1.4550000000000001</v>
      </c>
      <c r="Q413">
        <v>1.8915000000000002</v>
      </c>
      <c r="R413" s="5">
        <v>87.300000000000011</v>
      </c>
    </row>
    <row r="414" spans="1:18" x14ac:dyDescent="0.25">
      <c r="A414" t="s">
        <v>831</v>
      </c>
      <c r="B414" s="7">
        <v>44410</v>
      </c>
      <c r="C414" t="str">
        <f>TEXT(Table3[[#This Row],[Order Date]],"yyyy")</f>
        <v>2021</v>
      </c>
      <c r="D414" t="s">
        <v>6231</v>
      </c>
      <c r="E414" t="s">
        <v>832</v>
      </c>
      <c r="F414" t="s">
        <v>67</v>
      </c>
      <c r="G414">
        <v>5</v>
      </c>
      <c r="H414" t="s">
        <v>3777</v>
      </c>
      <c r="I414" t="s">
        <v>6210</v>
      </c>
      <c r="J414" t="s">
        <v>3780</v>
      </c>
      <c r="K414" t="s">
        <v>1938</v>
      </c>
      <c r="L414" t="s">
        <v>6213</v>
      </c>
      <c r="M414" t="s">
        <v>6193</v>
      </c>
      <c r="N414">
        <v>1</v>
      </c>
      <c r="O414">
        <v>11.25</v>
      </c>
      <c r="P414">
        <v>1.125</v>
      </c>
      <c r="Q414">
        <v>1.0125</v>
      </c>
      <c r="R414" s="5">
        <v>56.25</v>
      </c>
    </row>
    <row r="415" spans="1:18" x14ac:dyDescent="0.25">
      <c r="A415" t="s">
        <v>833</v>
      </c>
      <c r="B415" s="7">
        <v>43857</v>
      </c>
      <c r="C415" t="str">
        <f>TEXT(Table3[[#This Row],[Order Date]],"yyyy")</f>
        <v>2020</v>
      </c>
      <c r="D415" t="s">
        <v>6232</v>
      </c>
      <c r="E415" t="s">
        <v>834</v>
      </c>
      <c r="F415" t="s">
        <v>110</v>
      </c>
      <c r="G415">
        <v>1</v>
      </c>
      <c r="H415" t="s">
        <v>3781</v>
      </c>
      <c r="I415" t="s">
        <v>6210</v>
      </c>
      <c r="J415" t="s">
        <v>3785</v>
      </c>
      <c r="K415" t="s">
        <v>1938</v>
      </c>
      <c r="L415" t="s">
        <v>6199</v>
      </c>
      <c r="M415" t="s">
        <v>6215</v>
      </c>
      <c r="N415">
        <v>2.5</v>
      </c>
      <c r="O415">
        <v>36.454999999999998</v>
      </c>
      <c r="P415">
        <v>1.4581999999999999</v>
      </c>
      <c r="Q415">
        <v>4.7391499999999995</v>
      </c>
      <c r="R415" s="5">
        <v>36.454999999999998</v>
      </c>
    </row>
    <row r="416" spans="1:18" x14ac:dyDescent="0.25">
      <c r="A416" t="s">
        <v>835</v>
      </c>
      <c r="B416" s="7">
        <v>43802</v>
      </c>
      <c r="C416" t="str">
        <f>TEXT(Table3[[#This Row],[Order Date]],"yyyy")</f>
        <v>2019</v>
      </c>
      <c r="D416" t="s">
        <v>6237</v>
      </c>
      <c r="E416" t="s">
        <v>836</v>
      </c>
      <c r="F416" t="s">
        <v>188</v>
      </c>
      <c r="G416">
        <v>3</v>
      </c>
      <c r="H416" t="s">
        <v>3786</v>
      </c>
      <c r="I416" t="s">
        <v>6210</v>
      </c>
      <c r="J416" t="s">
        <v>3510</v>
      </c>
      <c r="K416" t="s">
        <v>1938</v>
      </c>
      <c r="L416" t="s">
        <v>6211</v>
      </c>
      <c r="M416" t="s">
        <v>6215</v>
      </c>
      <c r="N416">
        <v>0.2</v>
      </c>
      <c r="O416">
        <v>3.5849999999999995</v>
      </c>
      <c r="P416">
        <v>1.7924999999999998</v>
      </c>
      <c r="Q416">
        <v>0.21509999999999996</v>
      </c>
      <c r="R416" s="5">
        <v>10.754999999999999</v>
      </c>
    </row>
    <row r="417" spans="1:18" x14ac:dyDescent="0.25">
      <c r="A417" t="s">
        <v>837</v>
      </c>
      <c r="B417" s="7">
        <v>43683</v>
      </c>
      <c r="C417" t="str">
        <f>TEXT(Table3[[#This Row],[Order Date]],"yyyy")</f>
        <v>2019</v>
      </c>
      <c r="D417" t="s">
        <v>6231</v>
      </c>
      <c r="E417" t="s">
        <v>838</v>
      </c>
      <c r="F417" t="s">
        <v>168</v>
      </c>
      <c r="G417">
        <v>3</v>
      </c>
      <c r="H417" t="s">
        <v>3789</v>
      </c>
      <c r="I417" t="s">
        <v>6210</v>
      </c>
      <c r="J417" t="s">
        <v>3776</v>
      </c>
      <c r="K417" t="s">
        <v>1947</v>
      </c>
      <c r="L417" t="s">
        <v>6211</v>
      </c>
      <c r="M417" t="s">
        <v>6193</v>
      </c>
      <c r="N417">
        <v>0.2</v>
      </c>
      <c r="O417">
        <v>2.9849999999999999</v>
      </c>
      <c r="P417">
        <v>1.4924999999999999</v>
      </c>
      <c r="Q417">
        <v>0.17909999999999998</v>
      </c>
      <c r="R417" s="5">
        <v>8.9550000000000001</v>
      </c>
    </row>
    <row r="418" spans="1:18" x14ac:dyDescent="0.25">
      <c r="A418" t="s">
        <v>839</v>
      </c>
      <c r="B418" s="7">
        <v>43901</v>
      </c>
      <c r="C418" t="str">
        <f>TEXT(Table3[[#This Row],[Order Date]],"yyyy")</f>
        <v>2020</v>
      </c>
      <c r="D418" t="s">
        <v>6234</v>
      </c>
      <c r="E418" t="s">
        <v>840</v>
      </c>
      <c r="F418" t="s">
        <v>198</v>
      </c>
      <c r="G418">
        <v>3</v>
      </c>
      <c r="H418" t="s">
        <v>3792</v>
      </c>
      <c r="I418" t="s">
        <v>6210</v>
      </c>
      <c r="J418" t="s">
        <v>1972</v>
      </c>
      <c r="K418" t="s">
        <v>1938</v>
      </c>
      <c r="L418" t="s">
        <v>6213</v>
      </c>
      <c r="M418" t="s">
        <v>6215</v>
      </c>
      <c r="N418">
        <v>0.5</v>
      </c>
      <c r="O418">
        <v>7.77</v>
      </c>
      <c r="P418">
        <v>1.5539999999999998</v>
      </c>
      <c r="Q418">
        <v>0.69929999999999992</v>
      </c>
      <c r="R418" s="5">
        <v>23.31</v>
      </c>
    </row>
    <row r="419" spans="1:18" x14ac:dyDescent="0.25">
      <c r="A419" t="s">
        <v>841</v>
      </c>
      <c r="B419" s="7">
        <v>44457</v>
      </c>
      <c r="C419" t="str">
        <f>TEXT(Table3[[#This Row],[Order Date]],"yyyy")</f>
        <v>2021</v>
      </c>
      <c r="D419" t="s">
        <v>6228</v>
      </c>
      <c r="E419" t="s">
        <v>842</v>
      </c>
      <c r="F419" t="s">
        <v>210</v>
      </c>
      <c r="G419">
        <v>1</v>
      </c>
      <c r="H419" t="s">
        <v>3795</v>
      </c>
      <c r="I419" t="s">
        <v>6210</v>
      </c>
      <c r="J419" t="s">
        <v>3094</v>
      </c>
      <c r="K419" t="s">
        <v>1938</v>
      </c>
      <c r="L419" t="s">
        <v>6213</v>
      </c>
      <c r="M419" t="s">
        <v>6215</v>
      </c>
      <c r="N419">
        <v>2.5</v>
      </c>
      <c r="O419">
        <v>29.784999999999997</v>
      </c>
      <c r="P419">
        <v>1.1913999999999998</v>
      </c>
      <c r="Q419">
        <v>2.6806499999999995</v>
      </c>
      <c r="R419" s="5">
        <v>29.784999999999997</v>
      </c>
    </row>
    <row r="420" spans="1:18" x14ac:dyDescent="0.25">
      <c r="A420" t="s">
        <v>843</v>
      </c>
      <c r="B420" s="7">
        <v>44142</v>
      </c>
      <c r="C420" t="str">
        <f>TEXT(Table3[[#This Row],[Order Date]],"yyyy")</f>
        <v>2020</v>
      </c>
      <c r="D420" t="s">
        <v>6239</v>
      </c>
      <c r="E420" t="s">
        <v>844</v>
      </c>
      <c r="F420" t="s">
        <v>210</v>
      </c>
      <c r="G420">
        <v>5</v>
      </c>
      <c r="H420" t="s">
        <v>3798</v>
      </c>
      <c r="I420" t="s">
        <v>6210</v>
      </c>
      <c r="J420" t="s">
        <v>2994</v>
      </c>
      <c r="K420" t="s">
        <v>1938</v>
      </c>
      <c r="L420" t="s">
        <v>6213</v>
      </c>
      <c r="M420" t="s">
        <v>6215</v>
      </c>
      <c r="N420">
        <v>2.5</v>
      </c>
      <c r="O420">
        <v>29.784999999999997</v>
      </c>
      <c r="P420">
        <v>1.1913999999999998</v>
      </c>
      <c r="Q420">
        <v>2.6806499999999995</v>
      </c>
      <c r="R420" s="5">
        <v>148.92499999999998</v>
      </c>
    </row>
    <row r="421" spans="1:18" x14ac:dyDescent="0.25">
      <c r="A421" t="s">
        <v>845</v>
      </c>
      <c r="B421" s="7">
        <v>44739</v>
      </c>
      <c r="C421" t="str">
        <f>TEXT(Table3[[#This Row],[Order Date]],"yyyy")</f>
        <v>2022</v>
      </c>
      <c r="D421" t="s">
        <v>6229</v>
      </c>
      <c r="E421" t="s">
        <v>846</v>
      </c>
      <c r="F421" t="s">
        <v>84</v>
      </c>
      <c r="G421">
        <v>1</v>
      </c>
      <c r="H421" t="s">
        <v>3801</v>
      </c>
      <c r="I421" t="s">
        <v>6210</v>
      </c>
      <c r="J421" t="s">
        <v>3331</v>
      </c>
      <c r="K421" t="s">
        <v>1938</v>
      </c>
      <c r="L421" t="s">
        <v>6199</v>
      </c>
      <c r="M421" t="s">
        <v>6193</v>
      </c>
      <c r="N421">
        <v>0.5</v>
      </c>
      <c r="O421">
        <v>8.73</v>
      </c>
      <c r="P421">
        <v>1.746</v>
      </c>
      <c r="Q421">
        <v>1.1349</v>
      </c>
      <c r="R421" s="5">
        <v>8.73</v>
      </c>
    </row>
    <row r="422" spans="1:18" x14ac:dyDescent="0.25">
      <c r="A422" t="s">
        <v>847</v>
      </c>
      <c r="B422" s="7">
        <v>43866</v>
      </c>
      <c r="C422" t="str">
        <f>TEXT(Table3[[#This Row],[Order Date]],"yyyy")</f>
        <v>2020</v>
      </c>
      <c r="D422" t="s">
        <v>6238</v>
      </c>
      <c r="E422" t="s">
        <v>755</v>
      </c>
      <c r="F422" t="s">
        <v>129</v>
      </c>
      <c r="G422">
        <v>4</v>
      </c>
      <c r="H422" t="s">
        <v>3604</v>
      </c>
      <c r="I422" t="s">
        <v>6210</v>
      </c>
      <c r="J422" t="s">
        <v>3608</v>
      </c>
      <c r="K422" t="s">
        <v>1947</v>
      </c>
      <c r="L422" t="s">
        <v>6199</v>
      </c>
      <c r="M422" t="s">
        <v>6195</v>
      </c>
      <c r="N422">
        <v>0.5</v>
      </c>
      <c r="O422">
        <v>7.77</v>
      </c>
      <c r="P422">
        <v>1.5539999999999998</v>
      </c>
      <c r="Q422">
        <v>1.0101</v>
      </c>
      <c r="R422" s="5">
        <v>31.08</v>
      </c>
    </row>
    <row r="423" spans="1:18" x14ac:dyDescent="0.25">
      <c r="A423" t="s">
        <v>847</v>
      </c>
      <c r="B423" s="7">
        <v>43866</v>
      </c>
      <c r="C423" t="str">
        <f>TEXT(Table3[[#This Row],[Order Date]],"yyyy")</f>
        <v>2020</v>
      </c>
      <c r="D423" t="s">
        <v>6238</v>
      </c>
      <c r="E423" t="s">
        <v>755</v>
      </c>
      <c r="F423" t="s">
        <v>124</v>
      </c>
      <c r="G423">
        <v>6</v>
      </c>
      <c r="H423" t="s">
        <v>3604</v>
      </c>
      <c r="I423" t="s">
        <v>6210</v>
      </c>
      <c r="J423" t="s">
        <v>3608</v>
      </c>
      <c r="K423" t="s">
        <v>1947</v>
      </c>
      <c r="L423" t="s">
        <v>6213</v>
      </c>
      <c r="M423" t="s">
        <v>6195</v>
      </c>
      <c r="N423">
        <v>2.5</v>
      </c>
      <c r="O423">
        <v>22.884999999999998</v>
      </c>
      <c r="P423">
        <v>0.91539999999999988</v>
      </c>
      <c r="Q423">
        <v>2.0596499999999995</v>
      </c>
      <c r="R423" s="5">
        <v>137.31</v>
      </c>
    </row>
    <row r="424" spans="1:18" x14ac:dyDescent="0.25">
      <c r="A424" t="s">
        <v>848</v>
      </c>
      <c r="B424" s="7">
        <v>43868</v>
      </c>
      <c r="C424" t="str">
        <f>TEXT(Table3[[#This Row],[Order Date]],"yyyy")</f>
        <v>2020</v>
      </c>
      <c r="D424" t="s">
        <v>6238</v>
      </c>
      <c r="E424" t="s">
        <v>849</v>
      </c>
      <c r="F424" t="s">
        <v>78</v>
      </c>
      <c r="G424">
        <v>5</v>
      </c>
      <c r="H424" t="s">
        <v>3815</v>
      </c>
      <c r="I424" t="s">
        <v>6210</v>
      </c>
      <c r="J424" t="s">
        <v>3818</v>
      </c>
      <c r="K424" t="s">
        <v>1947</v>
      </c>
      <c r="L424" t="s">
        <v>6213</v>
      </c>
      <c r="M424" t="s">
        <v>6195</v>
      </c>
      <c r="N424">
        <v>0.5</v>
      </c>
      <c r="O424">
        <v>5.97</v>
      </c>
      <c r="P424">
        <v>1.194</v>
      </c>
      <c r="Q424">
        <v>0.5373</v>
      </c>
      <c r="R424" s="5">
        <v>29.849999999999998</v>
      </c>
    </row>
    <row r="425" spans="1:18" x14ac:dyDescent="0.25">
      <c r="A425" t="s">
        <v>850</v>
      </c>
      <c r="B425" s="7">
        <v>44183</v>
      </c>
      <c r="C425" t="str">
        <f>TEXT(Table3[[#This Row],[Order Date]],"yyyy")</f>
        <v>2020</v>
      </c>
      <c r="D425" t="s">
        <v>6237</v>
      </c>
      <c r="E425" t="s">
        <v>851</v>
      </c>
      <c r="F425" t="s">
        <v>28</v>
      </c>
      <c r="G425">
        <v>3</v>
      </c>
      <c r="H425" t="s">
        <v>3819</v>
      </c>
      <c r="I425" t="s">
        <v>6210</v>
      </c>
      <c r="J425" t="s">
        <v>2118</v>
      </c>
      <c r="K425" t="s">
        <v>1947</v>
      </c>
      <c r="L425" t="s">
        <v>6211</v>
      </c>
      <c r="M425" t="s">
        <v>6193</v>
      </c>
      <c r="N425">
        <v>0.5</v>
      </c>
      <c r="O425">
        <v>5.97</v>
      </c>
      <c r="P425">
        <v>1.194</v>
      </c>
      <c r="Q425">
        <v>0.35819999999999996</v>
      </c>
      <c r="R425" s="5">
        <v>17.91</v>
      </c>
    </row>
    <row r="426" spans="1:18" x14ac:dyDescent="0.25">
      <c r="A426" t="s">
        <v>852</v>
      </c>
      <c r="B426" s="7">
        <v>44431</v>
      </c>
      <c r="C426" t="str">
        <f>TEXT(Table3[[#This Row],[Order Date]],"yyyy")</f>
        <v>2021</v>
      </c>
      <c r="D426" t="s">
        <v>6231</v>
      </c>
      <c r="E426" t="s">
        <v>853</v>
      </c>
      <c r="F426" t="s">
        <v>182</v>
      </c>
      <c r="G426">
        <v>3</v>
      </c>
      <c r="H426" t="s">
        <v>3822</v>
      </c>
      <c r="I426" t="s">
        <v>6210</v>
      </c>
      <c r="J426" t="s">
        <v>2123</v>
      </c>
      <c r="K426" t="s">
        <v>1938</v>
      </c>
      <c r="L426" t="s">
        <v>6212</v>
      </c>
      <c r="M426" t="s">
        <v>6215</v>
      </c>
      <c r="N426">
        <v>0.5</v>
      </c>
      <c r="O426">
        <v>8.91</v>
      </c>
      <c r="P426">
        <v>1.782</v>
      </c>
      <c r="Q426">
        <v>0.98009999999999997</v>
      </c>
      <c r="R426" s="5">
        <v>26.73</v>
      </c>
    </row>
    <row r="427" spans="1:18" x14ac:dyDescent="0.25">
      <c r="A427" t="s">
        <v>854</v>
      </c>
      <c r="B427" s="7">
        <v>44428</v>
      </c>
      <c r="C427" t="str">
        <f>TEXT(Table3[[#This Row],[Order Date]],"yyyy")</f>
        <v>2021</v>
      </c>
      <c r="D427" t="s">
        <v>6231</v>
      </c>
      <c r="E427" t="s">
        <v>855</v>
      </c>
      <c r="F427" t="s">
        <v>185</v>
      </c>
      <c r="G427">
        <v>2</v>
      </c>
      <c r="H427" t="s">
        <v>3826</v>
      </c>
      <c r="I427" t="s">
        <v>6210</v>
      </c>
      <c r="J427" t="s">
        <v>2497</v>
      </c>
      <c r="K427" t="s">
        <v>1947</v>
      </c>
      <c r="L427" t="s">
        <v>6211</v>
      </c>
      <c r="M427" t="s">
        <v>6195</v>
      </c>
      <c r="N427">
        <v>1</v>
      </c>
      <c r="O427">
        <v>8.9499999999999993</v>
      </c>
      <c r="P427">
        <v>0.89499999999999991</v>
      </c>
      <c r="Q427">
        <v>0.53699999999999992</v>
      </c>
      <c r="R427" s="5">
        <v>17.899999999999999</v>
      </c>
    </row>
    <row r="428" spans="1:18" x14ac:dyDescent="0.25">
      <c r="A428" t="s">
        <v>856</v>
      </c>
      <c r="B428" s="7">
        <v>43556</v>
      </c>
      <c r="C428" t="str">
        <f>TEXT(Table3[[#This Row],[Order Date]],"yyyy")</f>
        <v>2019</v>
      </c>
      <c r="D428" t="s">
        <v>6236</v>
      </c>
      <c r="E428" t="s">
        <v>857</v>
      </c>
      <c r="F428" t="s">
        <v>188</v>
      </c>
      <c r="G428">
        <v>4</v>
      </c>
      <c r="H428" t="s">
        <v>3830</v>
      </c>
      <c r="I428" t="s">
        <v>1945</v>
      </c>
      <c r="J428" t="s">
        <v>3834</v>
      </c>
      <c r="K428" t="s">
        <v>1938</v>
      </c>
      <c r="L428" t="s">
        <v>6211</v>
      </c>
      <c r="M428" t="s">
        <v>6215</v>
      </c>
      <c r="N428">
        <v>0.2</v>
      </c>
      <c r="O428">
        <v>3.5849999999999995</v>
      </c>
      <c r="P428">
        <v>1.7924999999999998</v>
      </c>
      <c r="Q428">
        <v>0.21509999999999996</v>
      </c>
      <c r="R428" s="5">
        <v>14.339999999999998</v>
      </c>
    </row>
    <row r="429" spans="1:18" x14ac:dyDescent="0.25">
      <c r="A429" t="s">
        <v>858</v>
      </c>
      <c r="B429" s="7">
        <v>44224</v>
      </c>
      <c r="C429" t="str">
        <f>TEXT(Table3[[#This Row],[Order Date]],"yyyy")</f>
        <v>2021</v>
      </c>
      <c r="D429" t="s">
        <v>6232</v>
      </c>
      <c r="E429" t="s">
        <v>859</v>
      </c>
      <c r="F429" t="s">
        <v>177</v>
      </c>
      <c r="G429">
        <v>3</v>
      </c>
      <c r="H429" t="s">
        <v>3836</v>
      </c>
      <c r="I429" t="s">
        <v>6210</v>
      </c>
      <c r="J429" t="s">
        <v>3085</v>
      </c>
      <c r="K429" t="s">
        <v>1938</v>
      </c>
      <c r="L429" t="s">
        <v>6213</v>
      </c>
      <c r="M429" t="s">
        <v>6193</v>
      </c>
      <c r="N429">
        <v>2.5</v>
      </c>
      <c r="O429">
        <v>25.874999999999996</v>
      </c>
      <c r="P429">
        <v>1.0349999999999999</v>
      </c>
      <c r="Q429">
        <v>2.3287499999999994</v>
      </c>
      <c r="R429" s="5">
        <v>77.624999999999986</v>
      </c>
    </row>
    <row r="430" spans="1:18" x14ac:dyDescent="0.25">
      <c r="A430" t="s">
        <v>860</v>
      </c>
      <c r="B430" s="7">
        <v>43759</v>
      </c>
      <c r="C430" t="str">
        <f>TEXT(Table3[[#This Row],[Order Date]],"yyyy")</f>
        <v>2019</v>
      </c>
      <c r="D430" t="s">
        <v>6235</v>
      </c>
      <c r="E430" t="s">
        <v>861</v>
      </c>
      <c r="F430" t="s">
        <v>195</v>
      </c>
      <c r="G430">
        <v>5</v>
      </c>
      <c r="H430" t="s">
        <v>3839</v>
      </c>
      <c r="I430" t="s">
        <v>6210</v>
      </c>
      <c r="J430" t="s">
        <v>2835</v>
      </c>
      <c r="K430" t="s">
        <v>1947</v>
      </c>
      <c r="L430" t="s">
        <v>6211</v>
      </c>
      <c r="M430" t="s">
        <v>6215</v>
      </c>
      <c r="N430">
        <v>1</v>
      </c>
      <c r="O430">
        <v>11.95</v>
      </c>
      <c r="P430">
        <v>1.1949999999999998</v>
      </c>
      <c r="Q430">
        <v>0.71699999999999997</v>
      </c>
      <c r="R430" s="5">
        <v>59.75</v>
      </c>
    </row>
    <row r="431" spans="1:18" x14ac:dyDescent="0.25">
      <c r="A431" t="s">
        <v>862</v>
      </c>
      <c r="B431" s="7">
        <v>44367</v>
      </c>
      <c r="C431" t="str">
        <f>TEXT(Table3[[#This Row],[Order Date]],"yyyy")</f>
        <v>2021</v>
      </c>
      <c r="D431" t="s">
        <v>6229</v>
      </c>
      <c r="E431" t="s">
        <v>755</v>
      </c>
      <c r="F431" t="s">
        <v>12</v>
      </c>
      <c r="G431">
        <v>6</v>
      </c>
      <c r="H431" t="s">
        <v>3604</v>
      </c>
      <c r="I431" t="s">
        <v>6210</v>
      </c>
      <c r="J431" t="s">
        <v>3608</v>
      </c>
      <c r="K431" t="s">
        <v>1947</v>
      </c>
      <c r="L431" t="s">
        <v>6213</v>
      </c>
      <c r="M431" t="s">
        <v>6215</v>
      </c>
      <c r="N431">
        <v>1</v>
      </c>
      <c r="O431">
        <v>12.95</v>
      </c>
      <c r="P431">
        <v>1.2949999999999999</v>
      </c>
      <c r="Q431">
        <v>1.1655</v>
      </c>
      <c r="R431" s="5">
        <v>77.699999999999989</v>
      </c>
    </row>
    <row r="432" spans="1:18" x14ac:dyDescent="0.25">
      <c r="A432" t="s">
        <v>863</v>
      </c>
      <c r="B432" s="7">
        <v>44504</v>
      </c>
      <c r="C432" t="str">
        <f>TEXT(Table3[[#This Row],[Order Date]],"yyyy")</f>
        <v>2021</v>
      </c>
      <c r="D432" t="s">
        <v>6239</v>
      </c>
      <c r="E432" t="s">
        <v>864</v>
      </c>
      <c r="F432" t="s">
        <v>107</v>
      </c>
      <c r="G432">
        <v>2</v>
      </c>
      <c r="H432" t="s">
        <v>3849</v>
      </c>
      <c r="I432" t="s">
        <v>6210</v>
      </c>
      <c r="J432" t="s">
        <v>3853</v>
      </c>
      <c r="K432" t="s">
        <v>1938</v>
      </c>
      <c r="L432" t="s">
        <v>6211</v>
      </c>
      <c r="M432" t="s">
        <v>6195</v>
      </c>
      <c r="N432">
        <v>0.2</v>
      </c>
      <c r="O432">
        <v>2.6849999999999996</v>
      </c>
      <c r="P432">
        <v>1.3424999999999998</v>
      </c>
      <c r="Q432">
        <v>0.16109999999999997</v>
      </c>
      <c r="R432" s="5">
        <v>5.3699999999999992</v>
      </c>
    </row>
    <row r="433" spans="1:18" x14ac:dyDescent="0.25">
      <c r="A433" t="s">
        <v>865</v>
      </c>
      <c r="B433" s="7">
        <v>44291</v>
      </c>
      <c r="C433" t="str">
        <f>TEXT(Table3[[#This Row],[Order Date]],"yyyy")</f>
        <v>2021</v>
      </c>
      <c r="D433" t="s">
        <v>6236</v>
      </c>
      <c r="E433" t="s">
        <v>866</v>
      </c>
      <c r="F433" t="s">
        <v>536</v>
      </c>
      <c r="G433">
        <v>3</v>
      </c>
      <c r="H433" t="s">
        <v>3854</v>
      </c>
      <c r="I433" t="s">
        <v>1945</v>
      </c>
      <c r="J433" t="s">
        <v>3858</v>
      </c>
      <c r="K433" t="s">
        <v>1938</v>
      </c>
      <c r="L433" t="s">
        <v>6212</v>
      </c>
      <c r="M433" t="s">
        <v>6195</v>
      </c>
      <c r="N433">
        <v>2.5</v>
      </c>
      <c r="O433">
        <v>27.945</v>
      </c>
      <c r="P433">
        <v>1.1177999999999999</v>
      </c>
      <c r="Q433">
        <v>3.07395</v>
      </c>
      <c r="R433" s="5">
        <v>83.835000000000008</v>
      </c>
    </row>
    <row r="434" spans="1:18" x14ac:dyDescent="0.25">
      <c r="A434" t="s">
        <v>867</v>
      </c>
      <c r="B434" s="7">
        <v>43808</v>
      </c>
      <c r="C434" t="str">
        <f>TEXT(Table3[[#This Row],[Order Date]],"yyyy")</f>
        <v>2019</v>
      </c>
      <c r="D434" t="s">
        <v>6237</v>
      </c>
      <c r="E434" t="s">
        <v>868</v>
      </c>
      <c r="F434" t="s">
        <v>67</v>
      </c>
      <c r="G434">
        <v>2</v>
      </c>
      <c r="H434" t="s">
        <v>3860</v>
      </c>
      <c r="I434" t="s">
        <v>6210</v>
      </c>
      <c r="J434" t="s">
        <v>3116</v>
      </c>
      <c r="K434" t="s">
        <v>1947</v>
      </c>
      <c r="L434" t="s">
        <v>6213</v>
      </c>
      <c r="M434" t="s">
        <v>6193</v>
      </c>
      <c r="N434">
        <v>1</v>
      </c>
      <c r="O434">
        <v>11.25</v>
      </c>
      <c r="P434">
        <v>1.125</v>
      </c>
      <c r="Q434">
        <v>1.0125</v>
      </c>
      <c r="R434" s="5">
        <v>22.5</v>
      </c>
    </row>
    <row r="435" spans="1:18" x14ac:dyDescent="0.25">
      <c r="A435" t="s">
        <v>869</v>
      </c>
      <c r="B435" s="7">
        <v>44563</v>
      </c>
      <c r="C435" t="str">
        <f>TEXT(Table3[[#This Row],[Order Date]],"yyyy")</f>
        <v>2022</v>
      </c>
      <c r="D435" t="s">
        <v>6232</v>
      </c>
      <c r="E435" t="s">
        <v>870</v>
      </c>
      <c r="F435" t="s">
        <v>203</v>
      </c>
      <c r="G435">
        <v>6</v>
      </c>
      <c r="H435" t="s">
        <v>3863</v>
      </c>
      <c r="I435" t="s">
        <v>6210</v>
      </c>
      <c r="J435" t="s">
        <v>2994</v>
      </c>
      <c r="K435" t="s">
        <v>1938</v>
      </c>
      <c r="L435" t="s">
        <v>6199</v>
      </c>
      <c r="M435" t="s">
        <v>6193</v>
      </c>
      <c r="N435">
        <v>2.5</v>
      </c>
      <c r="O435">
        <v>33.464999999999996</v>
      </c>
      <c r="P435">
        <v>1.3385999999999998</v>
      </c>
      <c r="Q435">
        <v>4.3504499999999995</v>
      </c>
      <c r="R435" s="5">
        <v>200.78999999999996</v>
      </c>
    </row>
    <row r="436" spans="1:18" x14ac:dyDescent="0.25">
      <c r="A436" t="s">
        <v>871</v>
      </c>
      <c r="B436" s="7">
        <v>43807</v>
      </c>
      <c r="C436" t="str">
        <f>TEXT(Table3[[#This Row],[Order Date]],"yyyy")</f>
        <v>2019</v>
      </c>
      <c r="D436" t="s">
        <v>6237</v>
      </c>
      <c r="E436" t="s">
        <v>872</v>
      </c>
      <c r="F436" t="s">
        <v>67</v>
      </c>
      <c r="G436">
        <v>6</v>
      </c>
      <c r="H436" t="s">
        <v>3867</v>
      </c>
      <c r="I436" t="s">
        <v>6210</v>
      </c>
      <c r="J436" t="s">
        <v>2154</v>
      </c>
      <c r="K436" t="s">
        <v>1947</v>
      </c>
      <c r="L436" t="s">
        <v>6213</v>
      </c>
      <c r="M436" t="s">
        <v>6193</v>
      </c>
      <c r="N436">
        <v>1</v>
      </c>
      <c r="O436">
        <v>11.25</v>
      </c>
      <c r="P436">
        <v>1.125</v>
      </c>
      <c r="Q436">
        <v>1.0125</v>
      </c>
      <c r="R436" s="5">
        <v>67.5</v>
      </c>
    </row>
    <row r="437" spans="1:18" x14ac:dyDescent="0.25">
      <c r="A437" t="s">
        <v>873</v>
      </c>
      <c r="B437" s="7">
        <v>44528</v>
      </c>
      <c r="C437" t="str">
        <f>TEXT(Table3[[#This Row],[Order Date]],"yyyy")</f>
        <v>2021</v>
      </c>
      <c r="D437" t="s">
        <v>6239</v>
      </c>
      <c r="E437" t="s">
        <v>874</v>
      </c>
      <c r="F437" t="s">
        <v>9</v>
      </c>
      <c r="G437">
        <v>1</v>
      </c>
      <c r="H437" t="s">
        <v>3870</v>
      </c>
      <c r="I437" t="s">
        <v>6210</v>
      </c>
      <c r="J437" t="s">
        <v>3505</v>
      </c>
      <c r="K437" t="s">
        <v>1947</v>
      </c>
      <c r="L437" t="s">
        <v>6212</v>
      </c>
      <c r="M437" t="s">
        <v>6193</v>
      </c>
      <c r="N437">
        <v>0.5</v>
      </c>
      <c r="O437">
        <v>8.25</v>
      </c>
      <c r="P437">
        <v>1.65</v>
      </c>
      <c r="Q437">
        <v>0.90749999999999997</v>
      </c>
      <c r="R437" s="5">
        <v>8.25</v>
      </c>
    </row>
    <row r="438" spans="1:18" x14ac:dyDescent="0.25">
      <c r="A438" t="s">
        <v>875</v>
      </c>
      <c r="B438" s="7">
        <v>44631</v>
      </c>
      <c r="C438" t="str">
        <f>TEXT(Table3[[#This Row],[Order Date]],"yyyy")</f>
        <v>2022</v>
      </c>
      <c r="D438" t="s">
        <v>6234</v>
      </c>
      <c r="E438" t="s">
        <v>876</v>
      </c>
      <c r="F438" t="s">
        <v>25</v>
      </c>
      <c r="G438">
        <v>2</v>
      </c>
      <c r="H438" t="s">
        <v>3874</v>
      </c>
      <c r="I438" t="s">
        <v>6210</v>
      </c>
      <c r="J438" t="s">
        <v>2546</v>
      </c>
      <c r="K438" t="s">
        <v>1938</v>
      </c>
      <c r="L438" t="s">
        <v>6199</v>
      </c>
      <c r="M438" t="s">
        <v>6215</v>
      </c>
      <c r="N438">
        <v>0.2</v>
      </c>
      <c r="O438">
        <v>4.7549999999999999</v>
      </c>
      <c r="P438">
        <v>2.3774999999999999</v>
      </c>
      <c r="Q438">
        <v>0.61814999999999998</v>
      </c>
      <c r="R438" s="5">
        <v>9.51</v>
      </c>
    </row>
    <row r="439" spans="1:18" x14ac:dyDescent="0.25">
      <c r="A439" t="s">
        <v>877</v>
      </c>
      <c r="B439" s="7">
        <v>44213</v>
      </c>
      <c r="C439" t="str">
        <f>TEXT(Table3[[#This Row],[Order Date]],"yyyy")</f>
        <v>2021</v>
      </c>
      <c r="D439" t="s">
        <v>6232</v>
      </c>
      <c r="E439" t="s">
        <v>878</v>
      </c>
      <c r="F439" t="s">
        <v>115</v>
      </c>
      <c r="G439">
        <v>1</v>
      </c>
      <c r="H439" t="s">
        <v>3878</v>
      </c>
      <c r="I439" t="s">
        <v>6210</v>
      </c>
      <c r="J439" t="s">
        <v>2023</v>
      </c>
      <c r="K439" t="s">
        <v>1947</v>
      </c>
      <c r="L439" t="s">
        <v>6199</v>
      </c>
      <c r="M439" t="s">
        <v>6195</v>
      </c>
      <c r="N439">
        <v>2.5</v>
      </c>
      <c r="O439">
        <v>29.784999999999997</v>
      </c>
      <c r="P439">
        <v>1.1913999999999998</v>
      </c>
      <c r="Q439">
        <v>3.8720499999999998</v>
      </c>
      <c r="R439" s="5">
        <v>29.784999999999997</v>
      </c>
    </row>
    <row r="440" spans="1:18" x14ac:dyDescent="0.25">
      <c r="A440" t="s">
        <v>879</v>
      </c>
      <c r="B440" s="7">
        <v>43483</v>
      </c>
      <c r="C440" t="str">
        <f>TEXT(Table3[[#This Row],[Order Date]],"yyyy")</f>
        <v>2019</v>
      </c>
      <c r="D440" t="s">
        <v>6232</v>
      </c>
      <c r="E440" t="s">
        <v>880</v>
      </c>
      <c r="F440" t="s">
        <v>129</v>
      </c>
      <c r="G440">
        <v>2</v>
      </c>
      <c r="H440" t="s">
        <v>3946</v>
      </c>
      <c r="I440" t="s">
        <v>6210</v>
      </c>
      <c r="J440" t="s">
        <v>3487</v>
      </c>
      <c r="K440" t="s">
        <v>1947</v>
      </c>
      <c r="L440" t="s">
        <v>6199</v>
      </c>
      <c r="M440" t="s">
        <v>6195</v>
      </c>
      <c r="N440">
        <v>0.5</v>
      </c>
      <c r="O440">
        <v>7.77</v>
      </c>
      <c r="P440">
        <v>1.5539999999999998</v>
      </c>
      <c r="Q440">
        <v>1.0101</v>
      </c>
      <c r="R440" s="5">
        <v>15.54</v>
      </c>
    </row>
    <row r="441" spans="1:18" x14ac:dyDescent="0.25">
      <c r="A441" t="s">
        <v>881</v>
      </c>
      <c r="B441" s="7">
        <v>43562</v>
      </c>
      <c r="C441" t="str">
        <f>TEXT(Table3[[#This Row],[Order Date]],"yyyy")</f>
        <v>2019</v>
      </c>
      <c r="D441" t="s">
        <v>6236</v>
      </c>
      <c r="E441" t="s">
        <v>882</v>
      </c>
      <c r="F441" t="s">
        <v>182</v>
      </c>
      <c r="G441">
        <v>4</v>
      </c>
      <c r="H441" t="s">
        <v>3886</v>
      </c>
      <c r="I441" t="s">
        <v>1945</v>
      </c>
      <c r="J441" t="s">
        <v>2027</v>
      </c>
      <c r="K441" t="s">
        <v>1947</v>
      </c>
      <c r="L441" t="s">
        <v>6212</v>
      </c>
      <c r="M441" t="s">
        <v>6215</v>
      </c>
      <c r="N441">
        <v>0.5</v>
      </c>
      <c r="O441">
        <v>8.91</v>
      </c>
      <c r="P441">
        <v>1.782</v>
      </c>
      <c r="Q441">
        <v>0.98009999999999997</v>
      </c>
      <c r="R441" s="5">
        <v>35.64</v>
      </c>
    </row>
    <row r="442" spans="1:18" x14ac:dyDescent="0.25">
      <c r="A442" t="s">
        <v>883</v>
      </c>
      <c r="B442" s="7">
        <v>44230</v>
      </c>
      <c r="C442" t="str">
        <f>TEXT(Table3[[#This Row],[Order Date]],"yyyy")</f>
        <v>2021</v>
      </c>
      <c r="D442" t="s">
        <v>6238</v>
      </c>
      <c r="E442" t="s">
        <v>884</v>
      </c>
      <c r="F442" t="s">
        <v>177</v>
      </c>
      <c r="G442">
        <v>4</v>
      </c>
      <c r="H442" t="s">
        <v>3890</v>
      </c>
      <c r="I442" t="s">
        <v>6210</v>
      </c>
      <c r="J442" t="s">
        <v>2346</v>
      </c>
      <c r="K442" t="s">
        <v>1938</v>
      </c>
      <c r="L442" t="s">
        <v>6213</v>
      </c>
      <c r="M442" t="s">
        <v>6193</v>
      </c>
      <c r="N442">
        <v>2.5</v>
      </c>
      <c r="O442">
        <v>25.874999999999996</v>
      </c>
      <c r="P442">
        <v>1.0349999999999999</v>
      </c>
      <c r="Q442">
        <v>2.3287499999999994</v>
      </c>
      <c r="R442" s="5">
        <v>103.49999999999999</v>
      </c>
    </row>
    <row r="443" spans="1:18" x14ac:dyDescent="0.25">
      <c r="A443" t="s">
        <v>885</v>
      </c>
      <c r="B443" s="7">
        <v>43573</v>
      </c>
      <c r="C443" t="str">
        <f>TEXT(Table3[[#This Row],[Order Date]],"yyyy")</f>
        <v>2019</v>
      </c>
      <c r="D443" t="s">
        <v>6236</v>
      </c>
      <c r="E443" t="s">
        <v>886</v>
      </c>
      <c r="F443" t="s">
        <v>251</v>
      </c>
      <c r="G443">
        <v>3</v>
      </c>
      <c r="H443" t="s">
        <v>3894</v>
      </c>
      <c r="I443" t="s">
        <v>1945</v>
      </c>
      <c r="J443" t="s">
        <v>3188</v>
      </c>
      <c r="K443" t="s">
        <v>1938</v>
      </c>
      <c r="L443" t="s">
        <v>6212</v>
      </c>
      <c r="M443" t="s">
        <v>6195</v>
      </c>
      <c r="N443">
        <v>1</v>
      </c>
      <c r="O443">
        <v>12.15</v>
      </c>
      <c r="P443">
        <v>1.2150000000000001</v>
      </c>
      <c r="Q443">
        <v>1.3365</v>
      </c>
      <c r="R443" s="5">
        <v>36.450000000000003</v>
      </c>
    </row>
    <row r="444" spans="1:18" x14ac:dyDescent="0.25">
      <c r="A444" t="s">
        <v>887</v>
      </c>
      <c r="B444" s="7">
        <v>44384</v>
      </c>
      <c r="C444" t="str">
        <f>TEXT(Table3[[#This Row],[Order Date]],"yyyy")</f>
        <v>2021</v>
      </c>
      <c r="D444" t="s">
        <v>6230</v>
      </c>
      <c r="E444" t="s">
        <v>888</v>
      </c>
      <c r="F444" t="s">
        <v>163</v>
      </c>
      <c r="G444">
        <v>5</v>
      </c>
      <c r="H444" t="s">
        <v>3898</v>
      </c>
      <c r="I444" t="s">
        <v>6210</v>
      </c>
      <c r="J444" t="s">
        <v>3902</v>
      </c>
      <c r="K444" t="s">
        <v>1947</v>
      </c>
      <c r="L444" t="s">
        <v>6211</v>
      </c>
      <c r="M444" t="s">
        <v>6215</v>
      </c>
      <c r="N444">
        <v>0.5</v>
      </c>
      <c r="O444">
        <v>7.169999999999999</v>
      </c>
      <c r="P444">
        <v>1.4339999999999997</v>
      </c>
      <c r="Q444">
        <v>0.43019999999999992</v>
      </c>
      <c r="R444" s="5">
        <v>35.849999999999994</v>
      </c>
    </row>
    <row r="445" spans="1:18" x14ac:dyDescent="0.25">
      <c r="A445" t="s">
        <v>889</v>
      </c>
      <c r="B445" s="7">
        <v>44250</v>
      </c>
      <c r="C445" t="str">
        <f>TEXT(Table3[[#This Row],[Order Date]],"yyyy")</f>
        <v>2021</v>
      </c>
      <c r="D445" t="s">
        <v>6238</v>
      </c>
      <c r="E445" t="s">
        <v>890</v>
      </c>
      <c r="F445" t="s">
        <v>260</v>
      </c>
      <c r="G445">
        <v>5</v>
      </c>
      <c r="H445" t="s">
        <v>3903</v>
      </c>
      <c r="I445" t="s">
        <v>1945</v>
      </c>
      <c r="J445" t="s">
        <v>3907</v>
      </c>
      <c r="K445" t="s">
        <v>1938</v>
      </c>
      <c r="L445" t="s">
        <v>6212</v>
      </c>
      <c r="M445" t="s">
        <v>6215</v>
      </c>
      <c r="N445">
        <v>0.2</v>
      </c>
      <c r="O445">
        <v>4.4550000000000001</v>
      </c>
      <c r="P445">
        <v>2.2275</v>
      </c>
      <c r="Q445">
        <v>0.49004999999999999</v>
      </c>
      <c r="R445" s="5">
        <v>22.274999999999999</v>
      </c>
    </row>
    <row r="446" spans="1:18" x14ac:dyDescent="0.25">
      <c r="A446" t="s">
        <v>891</v>
      </c>
      <c r="B446" s="7">
        <v>44418</v>
      </c>
      <c r="C446" t="str">
        <f>TEXT(Table3[[#This Row],[Order Date]],"yyyy")</f>
        <v>2021</v>
      </c>
      <c r="D446" t="s">
        <v>6231</v>
      </c>
      <c r="E446" t="s">
        <v>892</v>
      </c>
      <c r="F446" t="s">
        <v>70</v>
      </c>
      <c r="G446">
        <v>6</v>
      </c>
      <c r="H446" t="s">
        <v>3909</v>
      </c>
      <c r="I446" t="s">
        <v>1945</v>
      </c>
      <c r="J446" t="s">
        <v>3913</v>
      </c>
      <c r="K446" t="s">
        <v>1947</v>
      </c>
      <c r="L446" t="s">
        <v>6212</v>
      </c>
      <c r="M446" t="s">
        <v>6193</v>
      </c>
      <c r="N446">
        <v>0.2</v>
      </c>
      <c r="O446">
        <v>4.125</v>
      </c>
      <c r="P446">
        <v>2.0625</v>
      </c>
      <c r="Q446">
        <v>0.45374999999999999</v>
      </c>
      <c r="R446" s="5">
        <v>24.75</v>
      </c>
    </row>
    <row r="447" spans="1:18" x14ac:dyDescent="0.25">
      <c r="A447" t="s">
        <v>893</v>
      </c>
      <c r="B447" s="7">
        <v>43784</v>
      </c>
      <c r="C447" t="str">
        <f>TEXT(Table3[[#This Row],[Order Date]],"yyyy")</f>
        <v>2019</v>
      </c>
      <c r="D447" t="s">
        <v>6239</v>
      </c>
      <c r="E447" t="s">
        <v>894</v>
      </c>
      <c r="F447" t="s">
        <v>203</v>
      </c>
      <c r="G447">
        <v>2</v>
      </c>
      <c r="H447" t="s">
        <v>3915</v>
      </c>
      <c r="I447" t="s">
        <v>1945</v>
      </c>
      <c r="J447" t="s">
        <v>3397</v>
      </c>
      <c r="K447" t="s">
        <v>1938</v>
      </c>
      <c r="L447" t="s">
        <v>6199</v>
      </c>
      <c r="M447" t="s">
        <v>6193</v>
      </c>
      <c r="N447">
        <v>2.5</v>
      </c>
      <c r="O447">
        <v>33.464999999999996</v>
      </c>
      <c r="P447">
        <v>1.3385999999999998</v>
      </c>
      <c r="Q447">
        <v>4.3504499999999995</v>
      </c>
      <c r="R447" s="5">
        <v>66.929999999999993</v>
      </c>
    </row>
    <row r="448" spans="1:18" x14ac:dyDescent="0.25">
      <c r="A448" t="s">
        <v>895</v>
      </c>
      <c r="B448" s="7">
        <v>43816</v>
      </c>
      <c r="C448" t="str">
        <f>TEXT(Table3[[#This Row],[Order Date]],"yyyy")</f>
        <v>2019</v>
      </c>
      <c r="D448" t="s">
        <v>6237</v>
      </c>
      <c r="E448" t="s">
        <v>896</v>
      </c>
      <c r="F448" t="s">
        <v>84</v>
      </c>
      <c r="G448">
        <v>1</v>
      </c>
      <c r="H448" t="s">
        <v>3918</v>
      </c>
      <c r="I448" t="s">
        <v>2112</v>
      </c>
      <c r="J448" t="s">
        <v>2168</v>
      </c>
      <c r="K448" t="s">
        <v>1938</v>
      </c>
      <c r="L448" t="s">
        <v>6199</v>
      </c>
      <c r="M448" t="s">
        <v>6193</v>
      </c>
      <c r="N448">
        <v>0.5</v>
      </c>
      <c r="O448">
        <v>8.73</v>
      </c>
      <c r="P448">
        <v>1.746</v>
      </c>
      <c r="Q448">
        <v>1.1349</v>
      </c>
      <c r="R448" s="5">
        <v>8.73</v>
      </c>
    </row>
    <row r="449" spans="1:18" x14ac:dyDescent="0.25">
      <c r="A449" t="s">
        <v>897</v>
      </c>
      <c r="B449" s="7">
        <v>43908</v>
      </c>
      <c r="C449" t="str">
        <f>TEXT(Table3[[#This Row],[Order Date]],"yyyy")</f>
        <v>2020</v>
      </c>
      <c r="D449" t="s">
        <v>6234</v>
      </c>
      <c r="E449" t="s">
        <v>898</v>
      </c>
      <c r="F449" t="s">
        <v>28</v>
      </c>
      <c r="G449">
        <v>3</v>
      </c>
      <c r="H449" t="s">
        <v>3923</v>
      </c>
      <c r="I449" t="s">
        <v>6210</v>
      </c>
      <c r="J449" t="s">
        <v>3094</v>
      </c>
      <c r="K449" t="s">
        <v>1947</v>
      </c>
      <c r="L449" t="s">
        <v>6211</v>
      </c>
      <c r="M449" t="s">
        <v>6193</v>
      </c>
      <c r="N449">
        <v>0.5</v>
      </c>
      <c r="O449">
        <v>5.97</v>
      </c>
      <c r="P449">
        <v>1.194</v>
      </c>
      <c r="Q449">
        <v>0.35819999999999996</v>
      </c>
      <c r="R449" s="5">
        <v>17.91</v>
      </c>
    </row>
    <row r="450" spans="1:18" x14ac:dyDescent="0.25">
      <c r="A450" t="s">
        <v>899</v>
      </c>
      <c r="B450" s="7">
        <v>44718</v>
      </c>
      <c r="C450" t="str">
        <f>TEXT(Table3[[#This Row],[Order Date]],"yyyy")</f>
        <v>2022</v>
      </c>
      <c r="D450" t="s">
        <v>6229</v>
      </c>
      <c r="E450" t="s">
        <v>900</v>
      </c>
      <c r="F450" t="s">
        <v>163</v>
      </c>
      <c r="G450">
        <v>1</v>
      </c>
      <c r="H450" t="s">
        <v>3926</v>
      </c>
      <c r="I450" t="s">
        <v>1945</v>
      </c>
      <c r="J450" t="s">
        <v>3930</v>
      </c>
      <c r="K450" t="s">
        <v>1947</v>
      </c>
      <c r="L450" t="s">
        <v>6211</v>
      </c>
      <c r="M450" t="s">
        <v>6215</v>
      </c>
      <c r="N450">
        <v>0.5</v>
      </c>
      <c r="O450">
        <v>7.169999999999999</v>
      </c>
      <c r="P450">
        <v>1.4339999999999997</v>
      </c>
      <c r="Q450">
        <v>0.43019999999999992</v>
      </c>
      <c r="R450" s="5">
        <v>7.169999999999999</v>
      </c>
    </row>
    <row r="451" spans="1:18" x14ac:dyDescent="0.25">
      <c r="A451" t="s">
        <v>901</v>
      </c>
      <c r="B451" s="7">
        <v>44336</v>
      </c>
      <c r="C451" t="str">
        <f>TEXT(Table3[[#This Row],[Order Date]],"yyyy")</f>
        <v>2021</v>
      </c>
      <c r="D451" t="s">
        <v>6233</v>
      </c>
      <c r="E451" t="s">
        <v>902</v>
      </c>
      <c r="F451" t="s">
        <v>107</v>
      </c>
      <c r="G451">
        <v>2</v>
      </c>
      <c r="H451" t="s">
        <v>3932</v>
      </c>
      <c r="I451" t="s">
        <v>6210</v>
      </c>
      <c r="J451" t="s">
        <v>2207</v>
      </c>
      <c r="K451" t="s">
        <v>1947</v>
      </c>
      <c r="L451" t="s">
        <v>6211</v>
      </c>
      <c r="M451" t="s">
        <v>6195</v>
      </c>
      <c r="N451">
        <v>0.2</v>
      </c>
      <c r="O451">
        <v>2.6849999999999996</v>
      </c>
      <c r="P451">
        <v>1.3424999999999998</v>
      </c>
      <c r="Q451">
        <v>0.16109999999999997</v>
      </c>
      <c r="R451" s="5">
        <v>5.3699999999999992</v>
      </c>
    </row>
    <row r="452" spans="1:18" x14ac:dyDescent="0.25">
      <c r="A452" t="s">
        <v>903</v>
      </c>
      <c r="B452" s="7">
        <v>44207</v>
      </c>
      <c r="C452" t="str">
        <f>TEXT(Table3[[#This Row],[Order Date]],"yyyy")</f>
        <v>2021</v>
      </c>
      <c r="D452" t="s">
        <v>6232</v>
      </c>
      <c r="E452" t="s">
        <v>904</v>
      </c>
      <c r="F452" t="s">
        <v>25</v>
      </c>
      <c r="G452">
        <v>5</v>
      </c>
      <c r="H452" t="s">
        <v>3936</v>
      </c>
      <c r="I452" t="s">
        <v>1945</v>
      </c>
      <c r="J452" t="s">
        <v>3940</v>
      </c>
      <c r="K452" t="s">
        <v>1947</v>
      </c>
      <c r="L452" t="s">
        <v>6199</v>
      </c>
      <c r="M452" t="s">
        <v>6215</v>
      </c>
      <c r="N452">
        <v>0.2</v>
      </c>
      <c r="O452">
        <v>4.7549999999999999</v>
      </c>
      <c r="P452">
        <v>2.3774999999999999</v>
      </c>
      <c r="Q452">
        <v>0.61814999999999998</v>
      </c>
      <c r="R452" s="5">
        <v>23.774999999999999</v>
      </c>
    </row>
    <row r="453" spans="1:18" x14ac:dyDescent="0.25">
      <c r="A453" t="s">
        <v>905</v>
      </c>
      <c r="B453" s="7">
        <v>43518</v>
      </c>
      <c r="C453" t="str">
        <f>TEXT(Table3[[#This Row],[Order Date]],"yyyy")</f>
        <v>2019</v>
      </c>
      <c r="D453" t="s">
        <v>6238</v>
      </c>
      <c r="E453" t="s">
        <v>906</v>
      </c>
      <c r="F453" t="s">
        <v>41</v>
      </c>
      <c r="G453">
        <v>2</v>
      </c>
      <c r="H453" t="s">
        <v>3942</v>
      </c>
      <c r="I453" t="s">
        <v>6210</v>
      </c>
      <c r="J453" t="s">
        <v>2296</v>
      </c>
      <c r="K453" t="s">
        <v>1938</v>
      </c>
      <c r="L453" t="s">
        <v>6211</v>
      </c>
      <c r="M453" t="s">
        <v>6195</v>
      </c>
      <c r="N453">
        <v>2.5</v>
      </c>
      <c r="O453">
        <v>20.584999999999997</v>
      </c>
      <c r="P453">
        <v>0.82339999999999991</v>
      </c>
      <c r="Q453">
        <v>1.2350999999999999</v>
      </c>
      <c r="R453" s="5">
        <v>41.169999999999995</v>
      </c>
    </row>
    <row r="454" spans="1:18" x14ac:dyDescent="0.25">
      <c r="A454" t="s">
        <v>907</v>
      </c>
      <c r="B454" s="7">
        <v>44524</v>
      </c>
      <c r="C454" t="str">
        <f>TEXT(Table3[[#This Row],[Order Date]],"yyyy")</f>
        <v>2021</v>
      </c>
      <c r="D454" t="s">
        <v>6239</v>
      </c>
      <c r="E454" t="s">
        <v>880</v>
      </c>
      <c r="F454" t="s">
        <v>121</v>
      </c>
      <c r="G454">
        <v>3</v>
      </c>
      <c r="H454" t="s">
        <v>3946</v>
      </c>
      <c r="I454" t="s">
        <v>6210</v>
      </c>
      <c r="J454" t="s">
        <v>3487</v>
      </c>
      <c r="K454" t="s">
        <v>1947</v>
      </c>
      <c r="L454" t="s">
        <v>6213</v>
      </c>
      <c r="M454" t="s">
        <v>6215</v>
      </c>
      <c r="N454">
        <v>0.2</v>
      </c>
      <c r="O454">
        <v>3.8849999999999998</v>
      </c>
      <c r="P454">
        <v>1.9424999999999999</v>
      </c>
      <c r="Q454">
        <v>0.34964999999999996</v>
      </c>
      <c r="R454" s="5">
        <v>11.654999999999999</v>
      </c>
    </row>
    <row r="455" spans="1:18" x14ac:dyDescent="0.25">
      <c r="A455" t="s">
        <v>908</v>
      </c>
      <c r="B455" s="7">
        <v>44579</v>
      </c>
      <c r="C455" t="str">
        <f>TEXT(Table3[[#This Row],[Order Date]],"yyyy")</f>
        <v>2022</v>
      </c>
      <c r="D455" t="s">
        <v>6232</v>
      </c>
      <c r="E455" t="s">
        <v>909</v>
      </c>
      <c r="F455" t="s">
        <v>89</v>
      </c>
      <c r="G455">
        <v>4</v>
      </c>
      <c r="H455" t="s">
        <v>3950</v>
      </c>
      <c r="I455" t="s">
        <v>6210</v>
      </c>
      <c r="J455" t="s">
        <v>2999</v>
      </c>
      <c r="K455" t="s">
        <v>1947</v>
      </c>
      <c r="L455" t="s">
        <v>6199</v>
      </c>
      <c r="M455" t="s">
        <v>6215</v>
      </c>
      <c r="N455">
        <v>0.5</v>
      </c>
      <c r="O455">
        <v>9.51</v>
      </c>
      <c r="P455">
        <v>1.9019999999999999</v>
      </c>
      <c r="Q455">
        <v>1.2363</v>
      </c>
      <c r="R455" s="5">
        <v>38.04</v>
      </c>
    </row>
    <row r="456" spans="1:18" x14ac:dyDescent="0.25">
      <c r="A456" t="s">
        <v>910</v>
      </c>
      <c r="B456" s="7">
        <v>44421</v>
      </c>
      <c r="C456" t="str">
        <f>TEXT(Table3[[#This Row],[Order Date]],"yyyy")</f>
        <v>2021</v>
      </c>
      <c r="D456" t="s">
        <v>6231</v>
      </c>
      <c r="E456" t="s">
        <v>911</v>
      </c>
      <c r="F456" t="s">
        <v>41</v>
      </c>
      <c r="G456">
        <v>4</v>
      </c>
      <c r="H456" t="s">
        <v>3954</v>
      </c>
      <c r="I456" t="s">
        <v>1945</v>
      </c>
      <c r="J456" t="s">
        <v>3957</v>
      </c>
      <c r="K456" t="s">
        <v>1938</v>
      </c>
      <c r="L456" t="s">
        <v>6211</v>
      </c>
      <c r="M456" t="s">
        <v>6195</v>
      </c>
      <c r="N456">
        <v>2.5</v>
      </c>
      <c r="O456">
        <v>20.584999999999997</v>
      </c>
      <c r="P456">
        <v>0.82339999999999991</v>
      </c>
      <c r="Q456">
        <v>1.2350999999999999</v>
      </c>
      <c r="R456" s="5">
        <v>82.339999999999989</v>
      </c>
    </row>
    <row r="457" spans="1:18" x14ac:dyDescent="0.25">
      <c r="A457" t="s">
        <v>912</v>
      </c>
      <c r="B457" s="7">
        <v>43841</v>
      </c>
      <c r="C457" t="str">
        <f>TEXT(Table3[[#This Row],[Order Date]],"yyyy")</f>
        <v>2020</v>
      </c>
      <c r="D457" t="s">
        <v>6232</v>
      </c>
      <c r="E457" t="s">
        <v>913</v>
      </c>
      <c r="F457" t="s">
        <v>25</v>
      </c>
      <c r="G457">
        <v>2</v>
      </c>
      <c r="H457" t="s">
        <v>3958</v>
      </c>
      <c r="I457" t="s">
        <v>1945</v>
      </c>
      <c r="J457" t="s">
        <v>3962</v>
      </c>
      <c r="K457" t="s">
        <v>1938</v>
      </c>
      <c r="L457" t="s">
        <v>6199</v>
      </c>
      <c r="M457" t="s">
        <v>6215</v>
      </c>
      <c r="N457">
        <v>0.2</v>
      </c>
      <c r="O457">
        <v>4.7549999999999999</v>
      </c>
      <c r="P457">
        <v>2.3774999999999999</v>
      </c>
      <c r="Q457">
        <v>0.61814999999999998</v>
      </c>
      <c r="R457" s="5">
        <v>9.51</v>
      </c>
    </row>
    <row r="458" spans="1:18" x14ac:dyDescent="0.25">
      <c r="A458" t="s">
        <v>914</v>
      </c>
      <c r="B458" s="7">
        <v>44017</v>
      </c>
      <c r="C458" t="str">
        <f>TEXT(Table3[[#This Row],[Order Date]],"yyyy")</f>
        <v>2020</v>
      </c>
      <c r="D458" t="s">
        <v>6230</v>
      </c>
      <c r="E458" t="s">
        <v>915</v>
      </c>
      <c r="F458" t="s">
        <v>41</v>
      </c>
      <c r="G458">
        <v>2</v>
      </c>
      <c r="H458" t="s">
        <v>3963</v>
      </c>
      <c r="I458" t="s">
        <v>2112</v>
      </c>
      <c r="J458" t="s">
        <v>2277</v>
      </c>
      <c r="K458" t="s">
        <v>1947</v>
      </c>
      <c r="L458" t="s">
        <v>6211</v>
      </c>
      <c r="M458" t="s">
        <v>6195</v>
      </c>
      <c r="N458">
        <v>2.5</v>
      </c>
      <c r="O458">
        <v>20.584999999999997</v>
      </c>
      <c r="P458">
        <v>0.82339999999999991</v>
      </c>
      <c r="Q458">
        <v>1.2350999999999999</v>
      </c>
      <c r="R458" s="5">
        <v>41.169999999999995</v>
      </c>
    </row>
    <row r="459" spans="1:18" x14ac:dyDescent="0.25">
      <c r="A459" t="s">
        <v>916</v>
      </c>
      <c r="B459" s="7">
        <v>43671</v>
      </c>
      <c r="C459" t="str">
        <f>TEXT(Table3[[#This Row],[Order Date]],"yyyy")</f>
        <v>2019</v>
      </c>
      <c r="D459" t="s">
        <v>6230</v>
      </c>
      <c r="E459" t="s">
        <v>917</v>
      </c>
      <c r="F459" t="s">
        <v>89</v>
      </c>
      <c r="G459">
        <v>5</v>
      </c>
      <c r="H459" t="s">
        <v>3968</v>
      </c>
      <c r="I459" t="s">
        <v>6210</v>
      </c>
      <c r="J459" t="s">
        <v>2159</v>
      </c>
      <c r="K459" t="s">
        <v>1947</v>
      </c>
      <c r="L459" t="s">
        <v>6199</v>
      </c>
      <c r="M459" t="s">
        <v>6215</v>
      </c>
      <c r="N459">
        <v>0.5</v>
      </c>
      <c r="O459">
        <v>9.51</v>
      </c>
      <c r="P459">
        <v>1.9019999999999999</v>
      </c>
      <c r="Q459">
        <v>1.2363</v>
      </c>
      <c r="R459" s="5">
        <v>47.55</v>
      </c>
    </row>
    <row r="460" spans="1:18" x14ac:dyDescent="0.25">
      <c r="A460" t="s">
        <v>918</v>
      </c>
      <c r="B460" s="7">
        <v>44707</v>
      </c>
      <c r="C460" t="str">
        <f>TEXT(Table3[[#This Row],[Order Date]],"yyyy")</f>
        <v>2022</v>
      </c>
      <c r="D460" t="s">
        <v>6233</v>
      </c>
      <c r="E460" t="s">
        <v>919</v>
      </c>
      <c r="F460" t="s">
        <v>67</v>
      </c>
      <c r="G460">
        <v>4</v>
      </c>
      <c r="H460" t="s">
        <v>3972</v>
      </c>
      <c r="I460" t="s">
        <v>6210</v>
      </c>
      <c r="J460" t="s">
        <v>2136</v>
      </c>
      <c r="K460" t="s">
        <v>1947</v>
      </c>
      <c r="L460" t="s">
        <v>6213</v>
      </c>
      <c r="M460" t="s">
        <v>6193</v>
      </c>
      <c r="N460">
        <v>1</v>
      </c>
      <c r="O460">
        <v>11.25</v>
      </c>
      <c r="P460">
        <v>1.125</v>
      </c>
      <c r="Q460">
        <v>1.0125</v>
      </c>
      <c r="R460" s="5">
        <v>45</v>
      </c>
    </row>
    <row r="461" spans="1:18" x14ac:dyDescent="0.25">
      <c r="A461" t="s">
        <v>920</v>
      </c>
      <c r="B461" s="7">
        <v>43840</v>
      </c>
      <c r="C461" t="str">
        <f>TEXT(Table3[[#This Row],[Order Date]],"yyyy")</f>
        <v>2020</v>
      </c>
      <c r="D461" t="s">
        <v>6232</v>
      </c>
      <c r="E461" t="s">
        <v>921</v>
      </c>
      <c r="F461" t="s">
        <v>25</v>
      </c>
      <c r="G461">
        <v>5</v>
      </c>
      <c r="H461" t="s">
        <v>3976</v>
      </c>
      <c r="I461" t="s">
        <v>6210</v>
      </c>
      <c r="J461" t="s">
        <v>2133</v>
      </c>
      <c r="K461" t="s">
        <v>1947</v>
      </c>
      <c r="L461" t="s">
        <v>6199</v>
      </c>
      <c r="M461" t="s">
        <v>6215</v>
      </c>
      <c r="N461">
        <v>0.2</v>
      </c>
      <c r="O461">
        <v>4.7549999999999999</v>
      </c>
      <c r="P461">
        <v>2.3774999999999999</v>
      </c>
      <c r="Q461">
        <v>0.61814999999999998</v>
      </c>
      <c r="R461" s="5">
        <v>23.774999999999999</v>
      </c>
    </row>
    <row r="462" spans="1:18" x14ac:dyDescent="0.25">
      <c r="A462" t="s">
        <v>922</v>
      </c>
      <c r="B462" s="7">
        <v>43602</v>
      </c>
      <c r="C462" t="str">
        <f>TEXT(Table3[[#This Row],[Order Date]],"yyyy")</f>
        <v>2019</v>
      </c>
      <c r="D462" t="s">
        <v>6233</v>
      </c>
      <c r="E462" t="s">
        <v>923</v>
      </c>
      <c r="F462" t="s">
        <v>152</v>
      </c>
      <c r="G462">
        <v>3</v>
      </c>
      <c r="H462" t="s">
        <v>3980</v>
      </c>
      <c r="I462" t="s">
        <v>1945</v>
      </c>
      <c r="J462" t="s">
        <v>3984</v>
      </c>
      <c r="K462" t="s">
        <v>1938</v>
      </c>
      <c r="L462" t="s">
        <v>6211</v>
      </c>
      <c r="M462" t="s">
        <v>6195</v>
      </c>
      <c r="N462">
        <v>0.5</v>
      </c>
      <c r="O462">
        <v>5.3699999999999992</v>
      </c>
      <c r="P462">
        <v>1.0739999999999998</v>
      </c>
      <c r="Q462">
        <v>0.32219999999999993</v>
      </c>
      <c r="R462" s="5">
        <v>16.11</v>
      </c>
    </row>
    <row r="463" spans="1:18" x14ac:dyDescent="0.25">
      <c r="A463" t="s">
        <v>924</v>
      </c>
      <c r="B463" s="7">
        <v>44036</v>
      </c>
      <c r="C463" t="str">
        <f>TEXT(Table3[[#This Row],[Order Date]],"yyyy")</f>
        <v>2020</v>
      </c>
      <c r="D463" t="s">
        <v>6230</v>
      </c>
      <c r="E463" t="s">
        <v>925</v>
      </c>
      <c r="F463" t="s">
        <v>107</v>
      </c>
      <c r="G463">
        <v>4</v>
      </c>
      <c r="H463" t="s">
        <v>3986</v>
      </c>
      <c r="I463" t="s">
        <v>2112</v>
      </c>
      <c r="J463" t="s">
        <v>3990</v>
      </c>
      <c r="K463" t="s">
        <v>1938</v>
      </c>
      <c r="L463" t="s">
        <v>6211</v>
      </c>
      <c r="M463" t="s">
        <v>6195</v>
      </c>
      <c r="N463">
        <v>0.2</v>
      </c>
      <c r="O463">
        <v>2.6849999999999996</v>
      </c>
      <c r="P463">
        <v>1.3424999999999998</v>
      </c>
      <c r="Q463">
        <v>0.16109999999999997</v>
      </c>
      <c r="R463" s="5">
        <v>10.739999999999998</v>
      </c>
    </row>
    <row r="464" spans="1:18" x14ac:dyDescent="0.25">
      <c r="A464" t="s">
        <v>926</v>
      </c>
      <c r="B464" s="7">
        <v>44124</v>
      </c>
      <c r="C464" t="str">
        <f>TEXT(Table3[[#This Row],[Order Date]],"yyyy")</f>
        <v>2020</v>
      </c>
      <c r="D464" t="s">
        <v>6235</v>
      </c>
      <c r="E464" t="s">
        <v>927</v>
      </c>
      <c r="F464" t="s">
        <v>33</v>
      </c>
      <c r="G464">
        <v>5</v>
      </c>
      <c r="H464" t="s">
        <v>3992</v>
      </c>
      <c r="I464" t="s">
        <v>6210</v>
      </c>
      <c r="J464" t="s">
        <v>3044</v>
      </c>
      <c r="K464" t="s">
        <v>1938</v>
      </c>
      <c r="L464" t="s">
        <v>6213</v>
      </c>
      <c r="M464" t="s">
        <v>6195</v>
      </c>
      <c r="N464">
        <v>1</v>
      </c>
      <c r="O464">
        <v>9.9499999999999993</v>
      </c>
      <c r="P464">
        <v>0.99499999999999988</v>
      </c>
      <c r="Q464">
        <v>0.89549999999999985</v>
      </c>
      <c r="R464" s="5">
        <v>49.75</v>
      </c>
    </row>
    <row r="465" spans="1:18" x14ac:dyDescent="0.25">
      <c r="A465" t="s">
        <v>928</v>
      </c>
      <c r="B465" s="7">
        <v>43730</v>
      </c>
      <c r="C465" t="str">
        <f>TEXT(Table3[[#This Row],[Order Date]],"yyyy")</f>
        <v>2019</v>
      </c>
      <c r="D465" t="s">
        <v>6228</v>
      </c>
      <c r="E465" t="s">
        <v>929</v>
      </c>
      <c r="F465" t="s">
        <v>15</v>
      </c>
      <c r="G465">
        <v>2</v>
      </c>
      <c r="H465" t="s">
        <v>3996</v>
      </c>
      <c r="I465" t="s">
        <v>1945</v>
      </c>
      <c r="J465" t="s">
        <v>4000</v>
      </c>
      <c r="K465" t="s">
        <v>1947</v>
      </c>
      <c r="L465" t="s">
        <v>6212</v>
      </c>
      <c r="M465" t="s">
        <v>6193</v>
      </c>
      <c r="N465">
        <v>1</v>
      </c>
      <c r="O465">
        <v>13.75</v>
      </c>
      <c r="P465">
        <v>1.375</v>
      </c>
      <c r="Q465">
        <v>1.5125</v>
      </c>
      <c r="R465" s="5">
        <v>27.5</v>
      </c>
    </row>
    <row r="466" spans="1:18" x14ac:dyDescent="0.25">
      <c r="A466" t="s">
        <v>930</v>
      </c>
      <c r="B466" s="7">
        <v>43989</v>
      </c>
      <c r="C466" t="str">
        <f>TEXT(Table3[[#This Row],[Order Date]],"yyyy")</f>
        <v>2020</v>
      </c>
      <c r="D466" t="s">
        <v>6229</v>
      </c>
      <c r="E466" t="s">
        <v>931</v>
      </c>
      <c r="F466" t="s">
        <v>115</v>
      </c>
      <c r="G466">
        <v>4</v>
      </c>
      <c r="H466" t="s">
        <v>4002</v>
      </c>
      <c r="I466" t="s">
        <v>2112</v>
      </c>
      <c r="J466" t="s">
        <v>2867</v>
      </c>
      <c r="K466" t="s">
        <v>1947</v>
      </c>
      <c r="L466" t="s">
        <v>6199</v>
      </c>
      <c r="M466" t="s">
        <v>6195</v>
      </c>
      <c r="N466">
        <v>2.5</v>
      </c>
      <c r="O466">
        <v>29.784999999999997</v>
      </c>
      <c r="P466">
        <v>1.1913999999999998</v>
      </c>
      <c r="Q466">
        <v>3.8720499999999998</v>
      </c>
      <c r="R466" s="5">
        <v>119.13999999999999</v>
      </c>
    </row>
    <row r="467" spans="1:18" x14ac:dyDescent="0.25">
      <c r="A467" t="s">
        <v>932</v>
      </c>
      <c r="B467" s="7">
        <v>43814</v>
      </c>
      <c r="C467" t="str">
        <f>TEXT(Table3[[#This Row],[Order Date]],"yyyy")</f>
        <v>2019</v>
      </c>
      <c r="D467" t="s">
        <v>6237</v>
      </c>
      <c r="E467" t="s">
        <v>933</v>
      </c>
      <c r="F467" t="s">
        <v>41</v>
      </c>
      <c r="G467">
        <v>1</v>
      </c>
      <c r="H467" t="s">
        <v>4006</v>
      </c>
      <c r="I467" t="s">
        <v>6210</v>
      </c>
      <c r="J467" t="s">
        <v>3407</v>
      </c>
      <c r="K467" t="s">
        <v>1938</v>
      </c>
      <c r="L467" t="s">
        <v>6211</v>
      </c>
      <c r="M467" t="s">
        <v>6195</v>
      </c>
      <c r="N467">
        <v>2.5</v>
      </c>
      <c r="O467">
        <v>20.584999999999997</v>
      </c>
      <c r="P467">
        <v>0.82339999999999991</v>
      </c>
      <c r="Q467">
        <v>1.2350999999999999</v>
      </c>
      <c r="R467" s="5">
        <v>20.584999999999997</v>
      </c>
    </row>
    <row r="468" spans="1:18" x14ac:dyDescent="0.25">
      <c r="A468" t="s">
        <v>934</v>
      </c>
      <c r="B468" s="7">
        <v>44171</v>
      </c>
      <c r="C468" t="str">
        <f>TEXT(Table3[[#This Row],[Order Date]],"yyyy")</f>
        <v>2020</v>
      </c>
      <c r="D468" t="s">
        <v>6237</v>
      </c>
      <c r="E468" t="s">
        <v>935</v>
      </c>
      <c r="F468" t="s">
        <v>60</v>
      </c>
      <c r="G468">
        <v>3</v>
      </c>
      <c r="H468" t="s">
        <v>4010</v>
      </c>
      <c r="I468" t="s">
        <v>6210</v>
      </c>
      <c r="J468" t="s">
        <v>4014</v>
      </c>
      <c r="K468" t="s">
        <v>1938</v>
      </c>
      <c r="L468" t="s">
        <v>6213</v>
      </c>
      <c r="M468" t="s">
        <v>6195</v>
      </c>
      <c r="N468">
        <v>0.2</v>
      </c>
      <c r="O468">
        <v>2.9849999999999999</v>
      </c>
      <c r="P468">
        <v>1.4924999999999999</v>
      </c>
      <c r="Q468">
        <v>0.26865</v>
      </c>
      <c r="R468" s="5">
        <v>8.9550000000000001</v>
      </c>
    </row>
    <row r="469" spans="1:18" x14ac:dyDescent="0.25">
      <c r="A469" t="s">
        <v>936</v>
      </c>
      <c r="B469" s="7">
        <v>44536</v>
      </c>
      <c r="C469" t="str">
        <f>TEXT(Table3[[#This Row],[Order Date]],"yyyy")</f>
        <v>2021</v>
      </c>
      <c r="D469" t="s">
        <v>6237</v>
      </c>
      <c r="E469" t="s">
        <v>937</v>
      </c>
      <c r="F469" t="s">
        <v>78</v>
      </c>
      <c r="G469">
        <v>1</v>
      </c>
      <c r="H469" t="s">
        <v>4015</v>
      </c>
      <c r="I469" t="s">
        <v>6210</v>
      </c>
      <c r="J469" t="s">
        <v>4019</v>
      </c>
      <c r="K469" t="s">
        <v>1947</v>
      </c>
      <c r="L469" t="s">
        <v>6213</v>
      </c>
      <c r="M469" t="s">
        <v>6195</v>
      </c>
      <c r="N469">
        <v>0.5</v>
      </c>
      <c r="O469">
        <v>5.97</v>
      </c>
      <c r="P469">
        <v>1.194</v>
      </c>
      <c r="Q469">
        <v>0.5373</v>
      </c>
      <c r="R469" s="5">
        <v>5.97</v>
      </c>
    </row>
    <row r="470" spans="1:18" x14ac:dyDescent="0.25">
      <c r="A470" t="s">
        <v>938</v>
      </c>
      <c r="B470" s="7">
        <v>44023</v>
      </c>
      <c r="C470" t="str">
        <f>TEXT(Table3[[#This Row],[Order Date]],"yyyy")</f>
        <v>2020</v>
      </c>
      <c r="D470" t="s">
        <v>6230</v>
      </c>
      <c r="E470" t="s">
        <v>939</v>
      </c>
      <c r="F470" t="s">
        <v>15</v>
      </c>
      <c r="G470">
        <v>3</v>
      </c>
      <c r="H470" t="s">
        <v>4020</v>
      </c>
      <c r="I470" t="s">
        <v>6210</v>
      </c>
      <c r="J470" t="s">
        <v>4023</v>
      </c>
      <c r="K470" t="s">
        <v>1938</v>
      </c>
      <c r="L470" t="s">
        <v>6212</v>
      </c>
      <c r="M470" t="s">
        <v>6193</v>
      </c>
      <c r="N470">
        <v>1</v>
      </c>
      <c r="O470">
        <v>13.75</v>
      </c>
      <c r="P470">
        <v>1.375</v>
      </c>
      <c r="Q470">
        <v>1.5125</v>
      </c>
      <c r="R470" s="5">
        <v>41.25</v>
      </c>
    </row>
    <row r="471" spans="1:18" x14ac:dyDescent="0.25">
      <c r="A471" t="s">
        <v>940</v>
      </c>
      <c r="B471" s="7">
        <v>44375</v>
      </c>
      <c r="C471" t="str">
        <f>TEXT(Table3[[#This Row],[Order Date]],"yyyy")</f>
        <v>2021</v>
      </c>
      <c r="D471" t="s">
        <v>6229</v>
      </c>
      <c r="E471" t="s">
        <v>941</v>
      </c>
      <c r="F471" t="s">
        <v>260</v>
      </c>
      <c r="G471">
        <v>5</v>
      </c>
      <c r="H471" t="s">
        <v>4060</v>
      </c>
      <c r="I471" t="s">
        <v>6210</v>
      </c>
      <c r="J471" t="s">
        <v>4064</v>
      </c>
      <c r="K471" t="s">
        <v>1938</v>
      </c>
      <c r="L471" t="s">
        <v>6212</v>
      </c>
      <c r="M471" t="s">
        <v>6215</v>
      </c>
      <c r="N471">
        <v>0.2</v>
      </c>
      <c r="O471">
        <v>4.4550000000000001</v>
      </c>
      <c r="P471">
        <v>2.2275</v>
      </c>
      <c r="Q471">
        <v>0.49004999999999999</v>
      </c>
      <c r="R471" s="5">
        <v>22.274999999999999</v>
      </c>
    </row>
    <row r="472" spans="1:18" x14ac:dyDescent="0.25">
      <c r="A472" t="s">
        <v>942</v>
      </c>
      <c r="B472" s="7">
        <v>44656</v>
      </c>
      <c r="C472" t="str">
        <f>TEXT(Table3[[#This Row],[Order Date]],"yyyy")</f>
        <v>2022</v>
      </c>
      <c r="D472" t="s">
        <v>6236</v>
      </c>
      <c r="E472" t="s">
        <v>943</v>
      </c>
      <c r="F472" t="s">
        <v>73</v>
      </c>
      <c r="G472">
        <v>1</v>
      </c>
      <c r="H472" t="s">
        <v>4029</v>
      </c>
      <c r="I472" t="s">
        <v>6210</v>
      </c>
      <c r="J472" t="s">
        <v>3677</v>
      </c>
      <c r="K472" t="s">
        <v>1938</v>
      </c>
      <c r="L472" t="s">
        <v>6213</v>
      </c>
      <c r="M472" t="s">
        <v>6193</v>
      </c>
      <c r="N472">
        <v>0.5</v>
      </c>
      <c r="O472">
        <v>6.75</v>
      </c>
      <c r="P472">
        <v>1.35</v>
      </c>
      <c r="Q472">
        <v>0.60749999999999993</v>
      </c>
      <c r="R472" s="5">
        <v>6.75</v>
      </c>
    </row>
    <row r="473" spans="1:18" x14ac:dyDescent="0.25">
      <c r="A473" t="s">
        <v>944</v>
      </c>
      <c r="B473" s="7">
        <v>44644</v>
      </c>
      <c r="C473" t="str">
        <f>TEXT(Table3[[#This Row],[Order Date]],"yyyy")</f>
        <v>2022</v>
      </c>
      <c r="D473" t="s">
        <v>6234</v>
      </c>
      <c r="E473" t="s">
        <v>945</v>
      </c>
      <c r="F473" t="s">
        <v>203</v>
      </c>
      <c r="G473">
        <v>4</v>
      </c>
      <c r="H473" t="s">
        <v>4033</v>
      </c>
      <c r="I473" t="s">
        <v>6210</v>
      </c>
      <c r="J473" t="s">
        <v>3505</v>
      </c>
      <c r="K473" t="s">
        <v>1938</v>
      </c>
      <c r="L473" t="s">
        <v>6199</v>
      </c>
      <c r="M473" t="s">
        <v>6193</v>
      </c>
      <c r="N473">
        <v>2.5</v>
      </c>
      <c r="O473">
        <v>33.464999999999996</v>
      </c>
      <c r="P473">
        <v>1.3385999999999998</v>
      </c>
      <c r="Q473">
        <v>4.3504499999999995</v>
      </c>
      <c r="R473" s="5">
        <v>133.85999999999999</v>
      </c>
    </row>
    <row r="474" spans="1:18" x14ac:dyDescent="0.25">
      <c r="A474" t="s">
        <v>946</v>
      </c>
      <c r="B474" s="7">
        <v>43869</v>
      </c>
      <c r="C474" t="str">
        <f>TEXT(Table3[[#This Row],[Order Date]],"yyyy")</f>
        <v>2020</v>
      </c>
      <c r="D474" t="s">
        <v>6238</v>
      </c>
      <c r="E474" t="s">
        <v>947</v>
      </c>
      <c r="F474" t="s">
        <v>60</v>
      </c>
      <c r="G474">
        <v>2</v>
      </c>
      <c r="H474" t="s">
        <v>4036</v>
      </c>
      <c r="I474" t="s">
        <v>6210</v>
      </c>
      <c r="J474" t="s">
        <v>2983</v>
      </c>
      <c r="K474" t="s">
        <v>1947</v>
      </c>
      <c r="L474" t="s">
        <v>6213</v>
      </c>
      <c r="M474" t="s">
        <v>6195</v>
      </c>
      <c r="N474">
        <v>0.2</v>
      </c>
      <c r="O474">
        <v>2.9849999999999999</v>
      </c>
      <c r="P474">
        <v>1.4924999999999999</v>
      </c>
      <c r="Q474">
        <v>0.26865</v>
      </c>
      <c r="R474" s="5">
        <v>5.97</v>
      </c>
    </row>
    <row r="475" spans="1:18" x14ac:dyDescent="0.25">
      <c r="A475" t="s">
        <v>948</v>
      </c>
      <c r="B475" s="7">
        <v>44603</v>
      </c>
      <c r="C475" t="str">
        <f>TEXT(Table3[[#This Row],[Order Date]],"yyyy")</f>
        <v>2022</v>
      </c>
      <c r="D475" t="s">
        <v>6238</v>
      </c>
      <c r="E475" t="s">
        <v>949</v>
      </c>
      <c r="F475" t="s">
        <v>12</v>
      </c>
      <c r="G475">
        <v>2</v>
      </c>
      <c r="H475" t="s">
        <v>4040</v>
      </c>
      <c r="I475" t="s">
        <v>6210</v>
      </c>
      <c r="J475" t="s">
        <v>3487</v>
      </c>
      <c r="K475" t="s">
        <v>1947</v>
      </c>
      <c r="L475" t="s">
        <v>6213</v>
      </c>
      <c r="M475" t="s">
        <v>6215</v>
      </c>
      <c r="N475">
        <v>1</v>
      </c>
      <c r="O475">
        <v>12.95</v>
      </c>
      <c r="P475">
        <v>1.2949999999999999</v>
      </c>
      <c r="Q475">
        <v>1.1655</v>
      </c>
      <c r="R475" s="5">
        <v>25.9</v>
      </c>
    </row>
    <row r="476" spans="1:18" x14ac:dyDescent="0.25">
      <c r="A476" t="s">
        <v>950</v>
      </c>
      <c r="B476" s="7">
        <v>44014</v>
      </c>
      <c r="C476" t="str">
        <f>TEXT(Table3[[#This Row],[Order Date]],"yyyy")</f>
        <v>2020</v>
      </c>
      <c r="D476" t="s">
        <v>6230</v>
      </c>
      <c r="E476" t="s">
        <v>951</v>
      </c>
      <c r="F476" t="s">
        <v>118</v>
      </c>
      <c r="G476">
        <v>1</v>
      </c>
      <c r="H476" t="s">
        <v>4044</v>
      </c>
      <c r="I476" t="s">
        <v>1945</v>
      </c>
      <c r="J476" t="s">
        <v>3075</v>
      </c>
      <c r="K476" t="s">
        <v>1938</v>
      </c>
      <c r="L476" t="s">
        <v>6212</v>
      </c>
      <c r="M476" t="s">
        <v>6193</v>
      </c>
      <c r="N476">
        <v>2.5</v>
      </c>
      <c r="O476">
        <v>31.624999999999996</v>
      </c>
      <c r="P476">
        <v>1.2649999999999999</v>
      </c>
      <c r="Q476">
        <v>3.4787499999999998</v>
      </c>
      <c r="R476" s="5">
        <v>31.624999999999996</v>
      </c>
    </row>
    <row r="477" spans="1:18" x14ac:dyDescent="0.25">
      <c r="A477" t="s">
        <v>952</v>
      </c>
      <c r="B477" s="7">
        <v>44767</v>
      </c>
      <c r="C477" t="str">
        <f>TEXT(Table3[[#This Row],[Order Date]],"yyyy")</f>
        <v>2022</v>
      </c>
      <c r="D477" t="s">
        <v>6230</v>
      </c>
      <c r="E477" t="s">
        <v>953</v>
      </c>
      <c r="F477" t="s">
        <v>83</v>
      </c>
      <c r="G477">
        <v>2</v>
      </c>
      <c r="H477" t="s">
        <v>4048</v>
      </c>
      <c r="I477" t="s">
        <v>6210</v>
      </c>
      <c r="J477" t="s">
        <v>4051</v>
      </c>
      <c r="K477" t="s">
        <v>1947</v>
      </c>
      <c r="L477" t="s">
        <v>6199</v>
      </c>
      <c r="M477" t="s">
        <v>6193</v>
      </c>
      <c r="N477">
        <v>0.2</v>
      </c>
      <c r="O477">
        <v>4.3650000000000002</v>
      </c>
      <c r="P477">
        <v>2.1825000000000001</v>
      </c>
      <c r="Q477">
        <v>0.56745000000000001</v>
      </c>
      <c r="R477" s="5">
        <v>8.73</v>
      </c>
    </row>
    <row r="478" spans="1:18" x14ac:dyDescent="0.25">
      <c r="A478" t="s">
        <v>954</v>
      </c>
      <c r="B478" s="7">
        <v>44274</v>
      </c>
      <c r="C478" t="str">
        <f>TEXT(Table3[[#This Row],[Order Date]],"yyyy")</f>
        <v>2021</v>
      </c>
      <c r="D478" t="s">
        <v>6234</v>
      </c>
      <c r="E478" t="s">
        <v>955</v>
      </c>
      <c r="F478" t="s">
        <v>260</v>
      </c>
      <c r="G478">
        <v>6</v>
      </c>
      <c r="H478" t="s">
        <v>4052</v>
      </c>
      <c r="I478" t="s">
        <v>6210</v>
      </c>
      <c r="J478" t="s">
        <v>2159</v>
      </c>
      <c r="K478" t="s">
        <v>1938</v>
      </c>
      <c r="L478" t="s">
        <v>6212</v>
      </c>
      <c r="M478" t="s">
        <v>6215</v>
      </c>
      <c r="N478">
        <v>0.2</v>
      </c>
      <c r="O478">
        <v>4.4550000000000001</v>
      </c>
      <c r="P478">
        <v>2.2275</v>
      </c>
      <c r="Q478">
        <v>0.49004999999999999</v>
      </c>
      <c r="R478" s="5">
        <v>26.73</v>
      </c>
    </row>
    <row r="479" spans="1:18" x14ac:dyDescent="0.25">
      <c r="A479" t="s">
        <v>956</v>
      </c>
      <c r="B479" s="7">
        <v>43962</v>
      </c>
      <c r="C479" t="str">
        <f>TEXT(Table3[[#This Row],[Order Date]],"yyyy")</f>
        <v>2020</v>
      </c>
      <c r="D479" t="s">
        <v>6233</v>
      </c>
      <c r="E479" t="s">
        <v>957</v>
      </c>
      <c r="F479" t="s">
        <v>83</v>
      </c>
      <c r="G479">
        <v>6</v>
      </c>
      <c r="H479" t="s">
        <v>4056</v>
      </c>
      <c r="I479" t="s">
        <v>6210</v>
      </c>
      <c r="J479" t="s">
        <v>3510</v>
      </c>
      <c r="K479" t="s">
        <v>1947</v>
      </c>
      <c r="L479" t="s">
        <v>6199</v>
      </c>
      <c r="M479" t="s">
        <v>6193</v>
      </c>
      <c r="N479">
        <v>0.2</v>
      </c>
      <c r="O479">
        <v>4.3650000000000002</v>
      </c>
      <c r="P479">
        <v>2.1825000000000001</v>
      </c>
      <c r="Q479">
        <v>0.56745000000000001</v>
      </c>
      <c r="R479" s="5">
        <v>26.19</v>
      </c>
    </row>
    <row r="480" spans="1:18" x14ac:dyDescent="0.25">
      <c r="A480" t="s">
        <v>958</v>
      </c>
      <c r="B480" s="7">
        <v>43624</v>
      </c>
      <c r="C480" t="str">
        <f>TEXT(Table3[[#This Row],[Order Date]],"yyyy")</f>
        <v>2019</v>
      </c>
      <c r="D480" t="s">
        <v>6229</v>
      </c>
      <c r="E480" t="s">
        <v>941</v>
      </c>
      <c r="F480" t="s">
        <v>185</v>
      </c>
      <c r="G480">
        <v>6</v>
      </c>
      <c r="H480" t="s">
        <v>4060</v>
      </c>
      <c r="I480" t="s">
        <v>6210</v>
      </c>
      <c r="J480" t="s">
        <v>4064</v>
      </c>
      <c r="K480" t="s">
        <v>1938</v>
      </c>
      <c r="L480" t="s">
        <v>6211</v>
      </c>
      <c r="M480" t="s">
        <v>6195</v>
      </c>
      <c r="N480">
        <v>1</v>
      </c>
      <c r="O480">
        <v>8.9499999999999993</v>
      </c>
      <c r="P480">
        <v>0.89499999999999991</v>
      </c>
      <c r="Q480">
        <v>0.53699999999999992</v>
      </c>
      <c r="R480" s="5">
        <v>53.699999999999996</v>
      </c>
    </row>
    <row r="481" spans="1:18" x14ac:dyDescent="0.25">
      <c r="A481" t="s">
        <v>958</v>
      </c>
      <c r="B481" s="7">
        <v>43624</v>
      </c>
      <c r="C481" t="str">
        <f>TEXT(Table3[[#This Row],[Order Date]],"yyyy")</f>
        <v>2019</v>
      </c>
      <c r="D481" t="s">
        <v>6229</v>
      </c>
      <c r="E481" t="s">
        <v>941</v>
      </c>
      <c r="F481" t="s">
        <v>118</v>
      </c>
      <c r="G481">
        <v>4</v>
      </c>
      <c r="H481" t="s">
        <v>4060</v>
      </c>
      <c r="I481" t="s">
        <v>6210</v>
      </c>
      <c r="J481" t="s">
        <v>4064</v>
      </c>
      <c r="K481" t="s">
        <v>1938</v>
      </c>
      <c r="L481" t="s">
        <v>6212</v>
      </c>
      <c r="M481" t="s">
        <v>6193</v>
      </c>
      <c r="N481">
        <v>2.5</v>
      </c>
      <c r="O481">
        <v>31.624999999999996</v>
      </c>
      <c r="P481">
        <v>1.2649999999999999</v>
      </c>
      <c r="Q481">
        <v>3.4787499999999998</v>
      </c>
      <c r="R481" s="5">
        <v>126.49999999999999</v>
      </c>
    </row>
    <row r="482" spans="1:18" x14ac:dyDescent="0.25">
      <c r="A482" t="s">
        <v>958</v>
      </c>
      <c r="B482" s="7">
        <v>43624</v>
      </c>
      <c r="C482" t="str">
        <f>TEXT(Table3[[#This Row],[Order Date]],"yyyy")</f>
        <v>2019</v>
      </c>
      <c r="D482" t="s">
        <v>6229</v>
      </c>
      <c r="E482" t="s">
        <v>941</v>
      </c>
      <c r="F482" t="s">
        <v>70</v>
      </c>
      <c r="G482">
        <v>1</v>
      </c>
      <c r="H482" t="s">
        <v>4060</v>
      </c>
      <c r="I482" t="s">
        <v>6210</v>
      </c>
      <c r="J482" t="s">
        <v>4064</v>
      </c>
      <c r="K482" t="s">
        <v>1938</v>
      </c>
      <c r="L482" t="s">
        <v>6212</v>
      </c>
      <c r="M482" t="s">
        <v>6193</v>
      </c>
      <c r="N482">
        <v>0.2</v>
      </c>
      <c r="O482">
        <v>4.125</v>
      </c>
      <c r="P482">
        <v>2.0625</v>
      </c>
      <c r="Q482">
        <v>0.45374999999999999</v>
      </c>
      <c r="R482" s="5">
        <v>4.125</v>
      </c>
    </row>
    <row r="483" spans="1:18" x14ac:dyDescent="0.25">
      <c r="A483" t="s">
        <v>959</v>
      </c>
      <c r="B483" s="7">
        <v>43747</v>
      </c>
      <c r="C483" t="str">
        <f>TEXT(Table3[[#This Row],[Order Date]],"yyyy")</f>
        <v>2019</v>
      </c>
      <c r="D483" t="s">
        <v>6235</v>
      </c>
      <c r="E483" t="s">
        <v>960</v>
      </c>
      <c r="F483" t="s">
        <v>195</v>
      </c>
      <c r="G483">
        <v>2</v>
      </c>
      <c r="H483" t="s">
        <v>4075</v>
      </c>
      <c r="I483" t="s">
        <v>2112</v>
      </c>
      <c r="J483" t="s">
        <v>4079</v>
      </c>
      <c r="K483" t="s">
        <v>1947</v>
      </c>
      <c r="L483" t="s">
        <v>6211</v>
      </c>
      <c r="M483" t="s">
        <v>6215</v>
      </c>
      <c r="N483">
        <v>1</v>
      </c>
      <c r="O483">
        <v>11.95</v>
      </c>
      <c r="P483">
        <v>1.1949999999999998</v>
      </c>
      <c r="Q483">
        <v>0.71699999999999997</v>
      </c>
      <c r="R483" s="5">
        <v>23.9</v>
      </c>
    </row>
    <row r="484" spans="1:18" x14ac:dyDescent="0.25">
      <c r="A484" t="s">
        <v>961</v>
      </c>
      <c r="B484" s="7">
        <v>44247</v>
      </c>
      <c r="C484" t="str">
        <f>TEXT(Table3[[#This Row],[Order Date]],"yyyy")</f>
        <v>2021</v>
      </c>
      <c r="D484" t="s">
        <v>6238</v>
      </c>
      <c r="E484" t="s">
        <v>962</v>
      </c>
      <c r="F484" t="s">
        <v>536</v>
      </c>
      <c r="G484">
        <v>5</v>
      </c>
      <c r="H484" t="s">
        <v>4080</v>
      </c>
      <c r="I484" t="s">
        <v>6210</v>
      </c>
      <c r="J484" t="s">
        <v>2695</v>
      </c>
      <c r="K484" t="s">
        <v>1938</v>
      </c>
      <c r="L484" t="s">
        <v>6212</v>
      </c>
      <c r="M484" t="s">
        <v>6195</v>
      </c>
      <c r="N484">
        <v>2.5</v>
      </c>
      <c r="O484">
        <v>27.945</v>
      </c>
      <c r="P484">
        <v>1.1177999999999999</v>
      </c>
      <c r="Q484">
        <v>3.07395</v>
      </c>
      <c r="R484" s="5">
        <v>139.72499999999999</v>
      </c>
    </row>
    <row r="485" spans="1:18" x14ac:dyDescent="0.25">
      <c r="A485" t="s">
        <v>963</v>
      </c>
      <c r="B485" s="7">
        <v>43790</v>
      </c>
      <c r="C485" t="str">
        <f>TEXT(Table3[[#This Row],[Order Date]],"yyyy")</f>
        <v>2019</v>
      </c>
      <c r="D485" t="s">
        <v>6239</v>
      </c>
      <c r="E485" t="s">
        <v>964</v>
      </c>
      <c r="F485" t="s">
        <v>115</v>
      </c>
      <c r="G485">
        <v>2</v>
      </c>
      <c r="H485" t="s">
        <v>4084</v>
      </c>
      <c r="I485" t="s">
        <v>6210</v>
      </c>
      <c r="J485" t="s">
        <v>2933</v>
      </c>
      <c r="K485" t="s">
        <v>1938</v>
      </c>
      <c r="L485" t="s">
        <v>6199</v>
      </c>
      <c r="M485" t="s">
        <v>6195</v>
      </c>
      <c r="N485">
        <v>2.5</v>
      </c>
      <c r="O485">
        <v>29.784999999999997</v>
      </c>
      <c r="P485">
        <v>1.1913999999999998</v>
      </c>
      <c r="Q485">
        <v>3.8720499999999998</v>
      </c>
      <c r="R485" s="5">
        <v>59.569999999999993</v>
      </c>
    </row>
    <row r="486" spans="1:18" x14ac:dyDescent="0.25">
      <c r="A486" t="s">
        <v>965</v>
      </c>
      <c r="B486" s="7">
        <v>44479</v>
      </c>
      <c r="C486" t="str">
        <f>TEXT(Table3[[#This Row],[Order Date]],"yyyy")</f>
        <v>2021</v>
      </c>
      <c r="D486" t="s">
        <v>6235</v>
      </c>
      <c r="E486" t="s">
        <v>966</v>
      </c>
      <c r="F486" t="s">
        <v>89</v>
      </c>
      <c r="G486">
        <v>6</v>
      </c>
      <c r="H486" t="s">
        <v>4087</v>
      </c>
      <c r="I486" t="s">
        <v>6210</v>
      </c>
      <c r="J486" t="s">
        <v>1991</v>
      </c>
      <c r="K486" t="s">
        <v>1947</v>
      </c>
      <c r="L486" t="s">
        <v>6199</v>
      </c>
      <c r="M486" t="s">
        <v>6215</v>
      </c>
      <c r="N486">
        <v>0.5</v>
      </c>
      <c r="O486">
        <v>9.51</v>
      </c>
      <c r="P486">
        <v>1.9019999999999999</v>
      </c>
      <c r="Q486">
        <v>1.2363</v>
      </c>
      <c r="R486" s="5">
        <v>57.06</v>
      </c>
    </row>
    <row r="487" spans="1:18" x14ac:dyDescent="0.25">
      <c r="A487" t="s">
        <v>967</v>
      </c>
      <c r="B487" s="7">
        <v>44413</v>
      </c>
      <c r="C487" t="str">
        <f>TEXT(Table3[[#This Row],[Order Date]],"yyyy")</f>
        <v>2021</v>
      </c>
      <c r="D487" t="s">
        <v>6231</v>
      </c>
      <c r="E487" t="s">
        <v>968</v>
      </c>
      <c r="F487" t="s">
        <v>188</v>
      </c>
      <c r="G487">
        <v>6</v>
      </c>
      <c r="H487" t="s">
        <v>4090</v>
      </c>
      <c r="I487" t="s">
        <v>1945</v>
      </c>
      <c r="J487" t="s">
        <v>4094</v>
      </c>
      <c r="K487" t="s">
        <v>1938</v>
      </c>
      <c r="L487" t="s">
        <v>6211</v>
      </c>
      <c r="M487" t="s">
        <v>6215</v>
      </c>
      <c r="N487">
        <v>0.2</v>
      </c>
      <c r="O487">
        <v>3.5849999999999995</v>
      </c>
      <c r="P487">
        <v>1.7924999999999998</v>
      </c>
      <c r="Q487">
        <v>0.21509999999999996</v>
      </c>
      <c r="R487" s="5">
        <v>21.509999999999998</v>
      </c>
    </row>
    <row r="488" spans="1:18" x14ac:dyDescent="0.25">
      <c r="A488" t="s">
        <v>969</v>
      </c>
      <c r="B488" s="7">
        <v>44043</v>
      </c>
      <c r="C488" t="str">
        <f>TEXT(Table3[[#This Row],[Order Date]],"yyyy")</f>
        <v>2020</v>
      </c>
      <c r="D488" t="s">
        <v>6230</v>
      </c>
      <c r="E488" t="s">
        <v>970</v>
      </c>
      <c r="F488" t="s">
        <v>84</v>
      </c>
      <c r="G488">
        <v>6</v>
      </c>
      <c r="H488" t="s">
        <v>4096</v>
      </c>
      <c r="I488" t="s">
        <v>1945</v>
      </c>
      <c r="J488" t="s">
        <v>4100</v>
      </c>
      <c r="K488" t="s">
        <v>1938</v>
      </c>
      <c r="L488" t="s">
        <v>6199</v>
      </c>
      <c r="M488" t="s">
        <v>6193</v>
      </c>
      <c r="N488">
        <v>0.5</v>
      </c>
      <c r="O488">
        <v>8.73</v>
      </c>
      <c r="P488">
        <v>1.746</v>
      </c>
      <c r="Q488">
        <v>1.1349</v>
      </c>
      <c r="R488" s="5">
        <v>52.38</v>
      </c>
    </row>
    <row r="489" spans="1:18" x14ac:dyDescent="0.25">
      <c r="A489" t="s">
        <v>971</v>
      </c>
      <c r="B489" s="7">
        <v>44093</v>
      </c>
      <c r="C489" t="str">
        <f>TEXT(Table3[[#This Row],[Order Date]],"yyyy")</f>
        <v>2020</v>
      </c>
      <c r="D489" t="s">
        <v>6228</v>
      </c>
      <c r="E489" t="s">
        <v>972</v>
      </c>
      <c r="F489" t="s">
        <v>251</v>
      </c>
      <c r="G489">
        <v>6</v>
      </c>
      <c r="H489" t="s">
        <v>4101</v>
      </c>
      <c r="I489" t="s">
        <v>1945</v>
      </c>
      <c r="J489" t="s">
        <v>4100</v>
      </c>
      <c r="K489" t="s">
        <v>1947</v>
      </c>
      <c r="L489" t="s">
        <v>6212</v>
      </c>
      <c r="M489" t="s">
        <v>6195</v>
      </c>
      <c r="N489">
        <v>1</v>
      </c>
      <c r="O489">
        <v>12.15</v>
      </c>
      <c r="P489">
        <v>1.2150000000000001</v>
      </c>
      <c r="Q489">
        <v>1.3365</v>
      </c>
      <c r="R489" s="5">
        <v>72.900000000000006</v>
      </c>
    </row>
    <row r="490" spans="1:18" x14ac:dyDescent="0.25">
      <c r="A490" t="s">
        <v>973</v>
      </c>
      <c r="B490" s="7">
        <v>43954</v>
      </c>
      <c r="C490" t="str">
        <f>TEXT(Table3[[#This Row],[Order Date]],"yyyy")</f>
        <v>2020</v>
      </c>
      <c r="D490" t="s">
        <v>6233</v>
      </c>
      <c r="E490" t="s">
        <v>974</v>
      </c>
      <c r="F490" t="s">
        <v>168</v>
      </c>
      <c r="G490">
        <v>5</v>
      </c>
      <c r="H490" t="s">
        <v>4105</v>
      </c>
      <c r="I490" t="s">
        <v>1945</v>
      </c>
      <c r="J490" t="s">
        <v>4109</v>
      </c>
      <c r="K490" t="s">
        <v>1938</v>
      </c>
      <c r="L490" t="s">
        <v>6211</v>
      </c>
      <c r="M490" t="s">
        <v>6193</v>
      </c>
      <c r="N490">
        <v>0.2</v>
      </c>
      <c r="O490">
        <v>2.9849999999999999</v>
      </c>
      <c r="P490">
        <v>1.4924999999999999</v>
      </c>
      <c r="Q490">
        <v>0.17909999999999998</v>
      </c>
      <c r="R490" s="5">
        <v>14.924999999999999</v>
      </c>
    </row>
    <row r="491" spans="1:18" x14ac:dyDescent="0.25">
      <c r="A491" t="s">
        <v>975</v>
      </c>
      <c r="B491" s="7">
        <v>43654</v>
      </c>
      <c r="C491" t="str">
        <f>TEXT(Table3[[#This Row],[Order Date]],"yyyy")</f>
        <v>2019</v>
      </c>
      <c r="D491" t="s">
        <v>6230</v>
      </c>
      <c r="E491" t="s">
        <v>976</v>
      </c>
      <c r="F491" t="s">
        <v>138</v>
      </c>
      <c r="G491">
        <v>6</v>
      </c>
      <c r="H491" t="s">
        <v>4110</v>
      </c>
      <c r="I491" t="s">
        <v>6210</v>
      </c>
      <c r="J491" t="s">
        <v>2444</v>
      </c>
      <c r="K491" t="s">
        <v>1947</v>
      </c>
      <c r="L491" t="s">
        <v>6199</v>
      </c>
      <c r="M491" t="s">
        <v>6215</v>
      </c>
      <c r="N491">
        <v>1</v>
      </c>
      <c r="O491">
        <v>15.85</v>
      </c>
      <c r="P491">
        <v>1.585</v>
      </c>
      <c r="Q491">
        <v>2.0605000000000002</v>
      </c>
      <c r="R491" s="5">
        <v>95.1</v>
      </c>
    </row>
    <row r="492" spans="1:18" x14ac:dyDescent="0.25">
      <c r="A492" t="s">
        <v>977</v>
      </c>
      <c r="B492" s="7">
        <v>43764</v>
      </c>
      <c r="C492" t="str">
        <f>TEXT(Table3[[#This Row],[Order Date]],"yyyy")</f>
        <v>2019</v>
      </c>
      <c r="D492" t="s">
        <v>6235</v>
      </c>
      <c r="E492" t="s">
        <v>978</v>
      </c>
      <c r="F492" t="s">
        <v>129</v>
      </c>
      <c r="G492">
        <v>2</v>
      </c>
      <c r="H492" t="s">
        <v>4114</v>
      </c>
      <c r="I492" t="s">
        <v>6210</v>
      </c>
      <c r="J492" t="s">
        <v>2187</v>
      </c>
      <c r="K492" t="s">
        <v>1947</v>
      </c>
      <c r="L492" t="s">
        <v>6199</v>
      </c>
      <c r="M492" t="s">
        <v>6195</v>
      </c>
      <c r="N492">
        <v>0.5</v>
      </c>
      <c r="O492">
        <v>7.77</v>
      </c>
      <c r="P492">
        <v>1.5539999999999998</v>
      </c>
      <c r="Q492">
        <v>1.0101</v>
      </c>
      <c r="R492" s="5">
        <v>15.54</v>
      </c>
    </row>
    <row r="493" spans="1:18" x14ac:dyDescent="0.25">
      <c r="A493" t="s">
        <v>979</v>
      </c>
      <c r="B493" s="7">
        <v>44101</v>
      </c>
      <c r="C493" t="str">
        <f>TEXT(Table3[[#This Row],[Order Date]],"yyyy")</f>
        <v>2020</v>
      </c>
      <c r="D493" t="s">
        <v>6228</v>
      </c>
      <c r="E493" t="s">
        <v>980</v>
      </c>
      <c r="F493" t="s">
        <v>44</v>
      </c>
      <c r="G493">
        <v>6</v>
      </c>
      <c r="H493" t="s">
        <v>4118</v>
      </c>
      <c r="I493" t="s">
        <v>6210</v>
      </c>
      <c r="J493" t="s">
        <v>3478</v>
      </c>
      <c r="K493" t="s">
        <v>1947</v>
      </c>
      <c r="L493" t="s">
        <v>6199</v>
      </c>
      <c r="M493" t="s">
        <v>6195</v>
      </c>
      <c r="N493">
        <v>0.2</v>
      </c>
      <c r="O493">
        <v>3.8849999999999998</v>
      </c>
      <c r="P493">
        <v>1.9424999999999999</v>
      </c>
      <c r="Q493">
        <v>0.50505</v>
      </c>
      <c r="R493" s="5">
        <v>23.31</v>
      </c>
    </row>
    <row r="494" spans="1:18" x14ac:dyDescent="0.25">
      <c r="A494" t="s">
        <v>981</v>
      </c>
      <c r="B494" s="7">
        <v>44620</v>
      </c>
      <c r="C494" t="str">
        <f>TEXT(Table3[[#This Row],[Order Date]],"yyyy")</f>
        <v>2022</v>
      </c>
      <c r="D494" t="s">
        <v>6238</v>
      </c>
      <c r="E494" t="s">
        <v>982</v>
      </c>
      <c r="F494" t="s">
        <v>70</v>
      </c>
      <c r="G494">
        <v>1</v>
      </c>
      <c r="H494" t="s">
        <v>4121</v>
      </c>
      <c r="I494" t="s">
        <v>6210</v>
      </c>
      <c r="J494" t="s">
        <v>3116</v>
      </c>
      <c r="K494" t="s">
        <v>1938</v>
      </c>
      <c r="L494" t="s">
        <v>6212</v>
      </c>
      <c r="M494" t="s">
        <v>6193</v>
      </c>
      <c r="N494">
        <v>0.2</v>
      </c>
      <c r="O494">
        <v>4.125</v>
      </c>
      <c r="P494">
        <v>2.0625</v>
      </c>
      <c r="Q494">
        <v>0.45374999999999999</v>
      </c>
      <c r="R494" s="5">
        <v>4.125</v>
      </c>
    </row>
    <row r="495" spans="1:18" x14ac:dyDescent="0.25">
      <c r="A495" t="s">
        <v>983</v>
      </c>
      <c r="B495" s="7">
        <v>44090</v>
      </c>
      <c r="C495" t="str">
        <f>TEXT(Table3[[#This Row],[Order Date]],"yyyy")</f>
        <v>2020</v>
      </c>
      <c r="D495" t="s">
        <v>6228</v>
      </c>
      <c r="E495" t="s">
        <v>984</v>
      </c>
      <c r="F495" t="s">
        <v>28</v>
      </c>
      <c r="G495">
        <v>6</v>
      </c>
      <c r="H495" t="s">
        <v>4125</v>
      </c>
      <c r="I495" t="s">
        <v>2112</v>
      </c>
      <c r="J495" t="s">
        <v>3325</v>
      </c>
      <c r="K495" t="s">
        <v>1947</v>
      </c>
      <c r="L495" t="s">
        <v>6211</v>
      </c>
      <c r="M495" t="s">
        <v>6193</v>
      </c>
      <c r="N495">
        <v>0.5</v>
      </c>
      <c r="O495">
        <v>5.97</v>
      </c>
      <c r="P495">
        <v>1.194</v>
      </c>
      <c r="Q495">
        <v>0.35819999999999996</v>
      </c>
      <c r="R495" s="5">
        <v>35.82</v>
      </c>
    </row>
    <row r="496" spans="1:18" x14ac:dyDescent="0.25">
      <c r="A496" t="s">
        <v>985</v>
      </c>
      <c r="B496" s="7">
        <v>44132</v>
      </c>
      <c r="C496" t="str">
        <f>TEXT(Table3[[#This Row],[Order Date]],"yyyy")</f>
        <v>2020</v>
      </c>
      <c r="D496" t="s">
        <v>6235</v>
      </c>
      <c r="E496" t="s">
        <v>986</v>
      </c>
      <c r="F496" t="s">
        <v>138</v>
      </c>
      <c r="G496">
        <v>2</v>
      </c>
      <c r="H496" t="s">
        <v>4129</v>
      </c>
      <c r="I496" t="s">
        <v>6210</v>
      </c>
      <c r="J496" t="s">
        <v>3065</v>
      </c>
      <c r="K496" t="s">
        <v>1947</v>
      </c>
      <c r="L496" t="s">
        <v>6199</v>
      </c>
      <c r="M496" t="s">
        <v>6215</v>
      </c>
      <c r="N496">
        <v>1</v>
      </c>
      <c r="O496">
        <v>15.85</v>
      </c>
      <c r="P496">
        <v>1.585</v>
      </c>
      <c r="Q496">
        <v>2.0605000000000002</v>
      </c>
      <c r="R496" s="5">
        <v>31.7</v>
      </c>
    </row>
    <row r="497" spans="1:18" x14ac:dyDescent="0.25">
      <c r="A497" t="s">
        <v>987</v>
      </c>
      <c r="B497" s="7">
        <v>43710</v>
      </c>
      <c r="C497" t="str">
        <f>TEXT(Table3[[#This Row],[Order Date]],"yyyy")</f>
        <v>2019</v>
      </c>
      <c r="D497" t="s">
        <v>6228</v>
      </c>
      <c r="E497" t="s">
        <v>988</v>
      </c>
      <c r="F497" t="s">
        <v>138</v>
      </c>
      <c r="G497">
        <v>5</v>
      </c>
      <c r="H497" t="s">
        <v>4133</v>
      </c>
      <c r="I497" t="s">
        <v>6210</v>
      </c>
      <c r="J497" t="s">
        <v>3278</v>
      </c>
      <c r="K497" t="s">
        <v>1938</v>
      </c>
      <c r="L497" t="s">
        <v>6199</v>
      </c>
      <c r="M497" t="s">
        <v>6215</v>
      </c>
      <c r="N497">
        <v>1</v>
      </c>
      <c r="O497">
        <v>15.85</v>
      </c>
      <c r="P497">
        <v>1.585</v>
      </c>
      <c r="Q497">
        <v>2.0605000000000002</v>
      </c>
      <c r="R497" s="5">
        <v>79.25</v>
      </c>
    </row>
    <row r="498" spans="1:18" x14ac:dyDescent="0.25">
      <c r="A498" t="s">
        <v>989</v>
      </c>
      <c r="B498" s="7">
        <v>44438</v>
      </c>
      <c r="C498" t="str">
        <f>TEXT(Table3[[#This Row],[Order Date]],"yyyy")</f>
        <v>2021</v>
      </c>
      <c r="D498" t="s">
        <v>6231</v>
      </c>
      <c r="E498" t="s">
        <v>990</v>
      </c>
      <c r="F498" t="s">
        <v>57</v>
      </c>
      <c r="G498">
        <v>3</v>
      </c>
      <c r="H498" t="s">
        <v>4136</v>
      </c>
      <c r="I498" t="s">
        <v>6210</v>
      </c>
      <c r="J498" t="s">
        <v>2221</v>
      </c>
      <c r="K498" t="s">
        <v>1947</v>
      </c>
      <c r="L498" t="s">
        <v>6212</v>
      </c>
      <c r="M498" t="s">
        <v>6195</v>
      </c>
      <c r="N498">
        <v>0.2</v>
      </c>
      <c r="O498">
        <v>3.645</v>
      </c>
      <c r="P498">
        <v>1.8225</v>
      </c>
      <c r="Q498">
        <v>0.40095000000000003</v>
      </c>
      <c r="R498" s="5">
        <v>10.935</v>
      </c>
    </row>
    <row r="499" spans="1:18" x14ac:dyDescent="0.25">
      <c r="A499" t="s">
        <v>991</v>
      </c>
      <c r="B499" s="7">
        <v>44351</v>
      </c>
      <c r="C499" t="str">
        <f>TEXT(Table3[[#This Row],[Order Date]],"yyyy")</f>
        <v>2021</v>
      </c>
      <c r="D499" t="s">
        <v>6229</v>
      </c>
      <c r="E499" t="s">
        <v>992</v>
      </c>
      <c r="F499" t="s">
        <v>33</v>
      </c>
      <c r="G499">
        <v>4</v>
      </c>
      <c r="H499" t="s">
        <v>4140</v>
      </c>
      <c r="I499" t="s">
        <v>1945</v>
      </c>
      <c r="J499" t="s">
        <v>4144</v>
      </c>
      <c r="K499" t="s">
        <v>1947</v>
      </c>
      <c r="L499" t="s">
        <v>6213</v>
      </c>
      <c r="M499" t="s">
        <v>6195</v>
      </c>
      <c r="N499">
        <v>1</v>
      </c>
      <c r="O499">
        <v>9.9499999999999993</v>
      </c>
      <c r="P499">
        <v>0.99499999999999988</v>
      </c>
      <c r="Q499">
        <v>0.89549999999999985</v>
      </c>
      <c r="R499" s="5">
        <v>39.799999999999997</v>
      </c>
    </row>
    <row r="500" spans="1:18" x14ac:dyDescent="0.25">
      <c r="A500" t="s">
        <v>993</v>
      </c>
      <c r="B500" s="7">
        <v>44159</v>
      </c>
      <c r="C500" t="str">
        <f>TEXT(Table3[[#This Row],[Order Date]],"yyyy")</f>
        <v>2020</v>
      </c>
      <c r="D500" t="s">
        <v>6239</v>
      </c>
      <c r="E500" t="s">
        <v>994</v>
      </c>
      <c r="F500" t="s">
        <v>8</v>
      </c>
      <c r="G500">
        <v>5</v>
      </c>
      <c r="H500" t="s">
        <v>4195</v>
      </c>
      <c r="I500" t="s">
        <v>1945</v>
      </c>
      <c r="J500" t="s">
        <v>4199</v>
      </c>
      <c r="K500" t="s">
        <v>1938</v>
      </c>
      <c r="L500" t="s">
        <v>6211</v>
      </c>
      <c r="M500" t="s">
        <v>6193</v>
      </c>
      <c r="N500">
        <v>1</v>
      </c>
      <c r="O500">
        <v>9.9499999999999993</v>
      </c>
      <c r="P500">
        <v>0.99499999999999988</v>
      </c>
      <c r="Q500">
        <v>0.59699999999999998</v>
      </c>
      <c r="R500" s="5">
        <v>49.75</v>
      </c>
    </row>
    <row r="501" spans="1:18" x14ac:dyDescent="0.25">
      <c r="A501" t="s">
        <v>995</v>
      </c>
      <c r="B501" s="7">
        <v>44003</v>
      </c>
      <c r="C501" t="str">
        <f>TEXT(Table3[[#This Row],[Order Date]],"yyyy")</f>
        <v>2020</v>
      </c>
      <c r="D501" t="s">
        <v>6229</v>
      </c>
      <c r="E501" t="s">
        <v>996</v>
      </c>
      <c r="F501" t="s">
        <v>107</v>
      </c>
      <c r="G501">
        <v>3</v>
      </c>
      <c r="H501" t="s">
        <v>4150</v>
      </c>
      <c r="I501" t="s">
        <v>1945</v>
      </c>
      <c r="J501" t="s">
        <v>2928</v>
      </c>
      <c r="K501" t="s">
        <v>1938</v>
      </c>
      <c r="L501" t="s">
        <v>6211</v>
      </c>
      <c r="M501" t="s">
        <v>6195</v>
      </c>
      <c r="N501">
        <v>0.2</v>
      </c>
      <c r="O501">
        <v>2.6849999999999996</v>
      </c>
      <c r="P501">
        <v>1.3424999999999998</v>
      </c>
      <c r="Q501">
        <v>0.16109999999999997</v>
      </c>
      <c r="R501" s="5">
        <v>8.0549999999999997</v>
      </c>
    </row>
    <row r="502" spans="1:18" x14ac:dyDescent="0.25">
      <c r="A502" t="s">
        <v>997</v>
      </c>
      <c r="B502" s="7">
        <v>44025</v>
      </c>
      <c r="C502" t="str">
        <f>TEXT(Table3[[#This Row],[Order Date]],"yyyy")</f>
        <v>2020</v>
      </c>
      <c r="D502" t="s">
        <v>6230</v>
      </c>
      <c r="E502" t="s">
        <v>998</v>
      </c>
      <c r="F502" t="s">
        <v>195</v>
      </c>
      <c r="G502">
        <v>4</v>
      </c>
      <c r="H502" t="s">
        <v>4153</v>
      </c>
      <c r="I502" t="s">
        <v>6210</v>
      </c>
      <c r="J502" t="s">
        <v>2044</v>
      </c>
      <c r="K502" t="s">
        <v>1947</v>
      </c>
      <c r="L502" t="s">
        <v>6211</v>
      </c>
      <c r="M502" t="s">
        <v>6215</v>
      </c>
      <c r="N502">
        <v>1</v>
      </c>
      <c r="O502">
        <v>11.95</v>
      </c>
      <c r="P502">
        <v>1.1949999999999998</v>
      </c>
      <c r="Q502">
        <v>0.71699999999999997</v>
      </c>
      <c r="R502" s="5">
        <v>47.8</v>
      </c>
    </row>
    <row r="503" spans="1:18" x14ac:dyDescent="0.25">
      <c r="A503" t="s">
        <v>999</v>
      </c>
      <c r="B503" s="7">
        <v>43467</v>
      </c>
      <c r="C503" t="str">
        <f>TEXT(Table3[[#This Row],[Order Date]],"yyyy")</f>
        <v>2019</v>
      </c>
      <c r="D503" t="s">
        <v>6232</v>
      </c>
      <c r="E503" t="s">
        <v>1000</v>
      </c>
      <c r="F503" t="s">
        <v>168</v>
      </c>
      <c r="G503">
        <v>4</v>
      </c>
      <c r="H503" t="s">
        <v>4156</v>
      </c>
      <c r="I503" t="s">
        <v>2112</v>
      </c>
      <c r="J503" t="s">
        <v>3360</v>
      </c>
      <c r="K503" t="s">
        <v>1947</v>
      </c>
      <c r="L503" t="s">
        <v>6211</v>
      </c>
      <c r="M503" t="s">
        <v>6193</v>
      </c>
      <c r="N503">
        <v>0.2</v>
      </c>
      <c r="O503">
        <v>2.9849999999999999</v>
      </c>
      <c r="P503">
        <v>1.4924999999999999</v>
      </c>
      <c r="Q503">
        <v>0.17909999999999998</v>
      </c>
      <c r="R503" s="5">
        <v>11.94</v>
      </c>
    </row>
    <row r="504" spans="1:18" x14ac:dyDescent="0.25">
      <c r="A504" t="s">
        <v>999</v>
      </c>
      <c r="B504" s="7">
        <v>43467</v>
      </c>
      <c r="C504" t="str">
        <f>TEXT(Table3[[#This Row],[Order Date]],"yyyy")</f>
        <v>2019</v>
      </c>
      <c r="D504" t="s">
        <v>6232</v>
      </c>
      <c r="E504" t="s">
        <v>1000</v>
      </c>
      <c r="F504" t="s">
        <v>70</v>
      </c>
      <c r="G504">
        <v>4</v>
      </c>
      <c r="H504" t="s">
        <v>4156</v>
      </c>
      <c r="I504" t="s">
        <v>2112</v>
      </c>
      <c r="J504" t="s">
        <v>3360</v>
      </c>
      <c r="K504" t="s">
        <v>1947</v>
      </c>
      <c r="L504" t="s">
        <v>6212</v>
      </c>
      <c r="M504" t="s">
        <v>6193</v>
      </c>
      <c r="N504">
        <v>0.2</v>
      </c>
      <c r="O504">
        <v>4.125</v>
      </c>
      <c r="P504">
        <v>2.0625</v>
      </c>
      <c r="Q504">
        <v>0.45374999999999999</v>
      </c>
      <c r="R504" s="5">
        <v>16.5</v>
      </c>
    </row>
    <row r="505" spans="1:18" x14ac:dyDescent="0.25">
      <c r="A505" t="s">
        <v>999</v>
      </c>
      <c r="B505" s="7">
        <v>43467</v>
      </c>
      <c r="C505" t="str">
        <f>TEXT(Table3[[#This Row],[Order Date]],"yyyy")</f>
        <v>2019</v>
      </c>
      <c r="D505" t="s">
        <v>6232</v>
      </c>
      <c r="E505" t="s">
        <v>1000</v>
      </c>
      <c r="F505" t="s">
        <v>19</v>
      </c>
      <c r="G505">
        <v>4</v>
      </c>
      <c r="H505" t="s">
        <v>4156</v>
      </c>
      <c r="I505" t="s">
        <v>2112</v>
      </c>
      <c r="J505" t="s">
        <v>3360</v>
      </c>
      <c r="K505" t="s">
        <v>1947</v>
      </c>
      <c r="L505" t="s">
        <v>6199</v>
      </c>
      <c r="M505" t="s">
        <v>6195</v>
      </c>
      <c r="N505">
        <v>1</v>
      </c>
      <c r="O505">
        <v>12.95</v>
      </c>
      <c r="P505">
        <v>1.2949999999999999</v>
      </c>
      <c r="Q505">
        <v>1.6835</v>
      </c>
      <c r="R505" s="5">
        <v>51.8</v>
      </c>
    </row>
    <row r="506" spans="1:18" x14ac:dyDescent="0.25">
      <c r="A506" t="s">
        <v>999</v>
      </c>
      <c r="B506" s="7">
        <v>43467</v>
      </c>
      <c r="C506" t="str">
        <f>TEXT(Table3[[#This Row],[Order Date]],"yyyy")</f>
        <v>2019</v>
      </c>
      <c r="D506" t="s">
        <v>6232</v>
      </c>
      <c r="E506" t="s">
        <v>1000</v>
      </c>
      <c r="F506" t="s">
        <v>25</v>
      </c>
      <c r="G506">
        <v>3</v>
      </c>
      <c r="H506" t="s">
        <v>4156</v>
      </c>
      <c r="I506" t="s">
        <v>2112</v>
      </c>
      <c r="J506" t="s">
        <v>3360</v>
      </c>
      <c r="K506" t="s">
        <v>1947</v>
      </c>
      <c r="L506" t="s">
        <v>6199</v>
      </c>
      <c r="M506" t="s">
        <v>6215</v>
      </c>
      <c r="N506">
        <v>0.2</v>
      </c>
      <c r="O506">
        <v>4.7549999999999999</v>
      </c>
      <c r="P506">
        <v>2.3774999999999999</v>
      </c>
      <c r="Q506">
        <v>0.61814999999999998</v>
      </c>
      <c r="R506" s="5">
        <v>14.265000000000001</v>
      </c>
    </row>
    <row r="507" spans="1:18" x14ac:dyDescent="0.25">
      <c r="A507" t="s">
        <v>1001</v>
      </c>
      <c r="B507" s="7">
        <v>44609</v>
      </c>
      <c r="C507" t="str">
        <f>TEXT(Table3[[#This Row],[Order Date]],"yyyy")</f>
        <v>2022</v>
      </c>
      <c r="D507" t="s">
        <v>6238</v>
      </c>
      <c r="E507" t="s">
        <v>1002</v>
      </c>
      <c r="F507" t="s">
        <v>83</v>
      </c>
      <c r="G507">
        <v>6</v>
      </c>
      <c r="H507" t="s">
        <v>4175</v>
      </c>
      <c r="I507" t="s">
        <v>6210</v>
      </c>
      <c r="J507" t="s">
        <v>4179</v>
      </c>
      <c r="K507" t="s">
        <v>1947</v>
      </c>
      <c r="L507" t="s">
        <v>6199</v>
      </c>
      <c r="M507" t="s">
        <v>6193</v>
      </c>
      <c r="N507">
        <v>0.2</v>
      </c>
      <c r="O507">
        <v>4.3650000000000002</v>
      </c>
      <c r="P507">
        <v>2.1825000000000001</v>
      </c>
      <c r="Q507">
        <v>0.56745000000000001</v>
      </c>
      <c r="R507" s="5">
        <v>26.19</v>
      </c>
    </row>
    <row r="508" spans="1:18" x14ac:dyDescent="0.25">
      <c r="A508" t="s">
        <v>1003</v>
      </c>
      <c r="B508" s="7">
        <v>44184</v>
      </c>
      <c r="C508" t="str">
        <f>TEXT(Table3[[#This Row],[Order Date]],"yyyy")</f>
        <v>2020</v>
      </c>
      <c r="D508" t="s">
        <v>6237</v>
      </c>
      <c r="E508" t="s">
        <v>1004</v>
      </c>
      <c r="F508" t="s">
        <v>12</v>
      </c>
      <c r="G508">
        <v>2</v>
      </c>
      <c r="H508" t="s">
        <v>4180</v>
      </c>
      <c r="I508" t="s">
        <v>6210</v>
      </c>
      <c r="J508" t="s">
        <v>2444</v>
      </c>
      <c r="K508" t="s">
        <v>1938</v>
      </c>
      <c r="L508" t="s">
        <v>6213</v>
      </c>
      <c r="M508" t="s">
        <v>6215</v>
      </c>
      <c r="N508">
        <v>1</v>
      </c>
      <c r="O508">
        <v>12.95</v>
      </c>
      <c r="P508">
        <v>1.2949999999999999</v>
      </c>
      <c r="Q508">
        <v>1.1655</v>
      </c>
      <c r="R508" s="5">
        <v>25.9</v>
      </c>
    </row>
    <row r="509" spans="1:18" x14ac:dyDescent="0.25">
      <c r="A509" t="s">
        <v>1005</v>
      </c>
      <c r="B509" s="7">
        <v>43516</v>
      </c>
      <c r="C509" t="str">
        <f>TEXT(Table3[[#This Row],[Order Date]],"yyyy")</f>
        <v>2019</v>
      </c>
      <c r="D509" t="s">
        <v>6238</v>
      </c>
      <c r="E509" t="s">
        <v>1006</v>
      </c>
      <c r="F509" t="s">
        <v>210</v>
      </c>
      <c r="G509">
        <v>3</v>
      </c>
      <c r="H509" t="s">
        <v>4184</v>
      </c>
      <c r="I509" t="s">
        <v>6210</v>
      </c>
      <c r="J509" t="s">
        <v>4188</v>
      </c>
      <c r="K509" t="s">
        <v>1938</v>
      </c>
      <c r="L509" t="s">
        <v>6213</v>
      </c>
      <c r="M509" t="s">
        <v>6215</v>
      </c>
      <c r="N509">
        <v>2.5</v>
      </c>
      <c r="O509">
        <v>29.784999999999997</v>
      </c>
      <c r="P509">
        <v>1.1913999999999998</v>
      </c>
      <c r="Q509">
        <v>2.6806499999999995</v>
      </c>
      <c r="R509" s="5">
        <v>89.35499999999999</v>
      </c>
    </row>
    <row r="510" spans="1:18" x14ac:dyDescent="0.25">
      <c r="A510" t="s">
        <v>1007</v>
      </c>
      <c r="B510" s="7">
        <v>44210</v>
      </c>
      <c r="C510" t="str">
        <f>TEXT(Table3[[#This Row],[Order Date]],"yyyy")</f>
        <v>2021</v>
      </c>
      <c r="D510" t="s">
        <v>6232</v>
      </c>
      <c r="E510" t="s">
        <v>1008</v>
      </c>
      <c r="F510" t="s">
        <v>129</v>
      </c>
      <c r="G510">
        <v>6</v>
      </c>
      <c r="H510" t="s">
        <v>4189</v>
      </c>
      <c r="I510" t="s">
        <v>1945</v>
      </c>
      <c r="J510" t="s">
        <v>4193</v>
      </c>
      <c r="K510" t="s">
        <v>1947</v>
      </c>
      <c r="L510" t="s">
        <v>6199</v>
      </c>
      <c r="M510" t="s">
        <v>6195</v>
      </c>
      <c r="N510">
        <v>0.5</v>
      </c>
      <c r="O510">
        <v>7.77</v>
      </c>
      <c r="P510">
        <v>1.5539999999999998</v>
      </c>
      <c r="Q510">
        <v>1.0101</v>
      </c>
      <c r="R510" s="5">
        <v>46.62</v>
      </c>
    </row>
    <row r="511" spans="1:18" x14ac:dyDescent="0.25">
      <c r="A511" t="s">
        <v>1009</v>
      </c>
      <c r="B511" s="7">
        <v>43785</v>
      </c>
      <c r="C511" t="str">
        <f>TEXT(Table3[[#This Row],[Order Date]],"yyyy")</f>
        <v>2019</v>
      </c>
      <c r="D511" t="s">
        <v>6239</v>
      </c>
      <c r="E511" t="s">
        <v>994</v>
      </c>
      <c r="F511" t="s">
        <v>33</v>
      </c>
      <c r="G511">
        <v>3</v>
      </c>
      <c r="H511" t="s">
        <v>4195</v>
      </c>
      <c r="I511" t="s">
        <v>1945</v>
      </c>
      <c r="J511" t="s">
        <v>4199</v>
      </c>
      <c r="K511" t="s">
        <v>1938</v>
      </c>
      <c r="L511" t="s">
        <v>6213</v>
      </c>
      <c r="M511" t="s">
        <v>6195</v>
      </c>
      <c r="N511">
        <v>1</v>
      </c>
      <c r="O511">
        <v>9.9499999999999993</v>
      </c>
      <c r="P511">
        <v>0.99499999999999988</v>
      </c>
      <c r="Q511">
        <v>0.89549999999999985</v>
      </c>
      <c r="R511" s="5">
        <v>29.849999999999998</v>
      </c>
    </row>
    <row r="512" spans="1:18" x14ac:dyDescent="0.25">
      <c r="A512" t="s">
        <v>1010</v>
      </c>
      <c r="B512" s="7">
        <v>43803</v>
      </c>
      <c r="C512" t="str">
        <f>TEXT(Table3[[#This Row],[Order Date]],"yyyy")</f>
        <v>2019</v>
      </c>
      <c r="D512" t="s">
        <v>6237</v>
      </c>
      <c r="E512" t="s">
        <v>1011</v>
      </c>
      <c r="F512" t="s">
        <v>188</v>
      </c>
      <c r="G512">
        <v>3</v>
      </c>
      <c r="H512" t="s">
        <v>4201</v>
      </c>
      <c r="I512" t="s">
        <v>1945</v>
      </c>
      <c r="J512" t="s">
        <v>3744</v>
      </c>
      <c r="K512" t="s">
        <v>1938</v>
      </c>
      <c r="L512" t="s">
        <v>6211</v>
      </c>
      <c r="M512" t="s">
        <v>6215</v>
      </c>
      <c r="N512">
        <v>0.2</v>
      </c>
      <c r="O512">
        <v>3.5849999999999995</v>
      </c>
      <c r="P512">
        <v>1.7924999999999998</v>
      </c>
      <c r="Q512">
        <v>0.21509999999999996</v>
      </c>
      <c r="R512" s="5">
        <v>10.754999999999999</v>
      </c>
    </row>
    <row r="513" spans="1:18" x14ac:dyDescent="0.25">
      <c r="A513" t="s">
        <v>1012</v>
      </c>
      <c r="B513" s="7">
        <v>44043</v>
      </c>
      <c r="C513" t="str">
        <f>TEXT(Table3[[#This Row],[Order Date]],"yyyy")</f>
        <v>2020</v>
      </c>
      <c r="D513" t="s">
        <v>6230</v>
      </c>
      <c r="E513" t="s">
        <v>1013</v>
      </c>
      <c r="F513" t="s">
        <v>50</v>
      </c>
      <c r="G513">
        <v>4</v>
      </c>
      <c r="H513" t="s">
        <v>4205</v>
      </c>
      <c r="I513" t="s">
        <v>6210</v>
      </c>
      <c r="J513" t="s">
        <v>2168</v>
      </c>
      <c r="K513" t="s">
        <v>1938</v>
      </c>
      <c r="L513" t="s">
        <v>6213</v>
      </c>
      <c r="M513" t="s">
        <v>6193</v>
      </c>
      <c r="N513">
        <v>0.2</v>
      </c>
      <c r="O513">
        <v>3.375</v>
      </c>
      <c r="P513">
        <v>1.6875</v>
      </c>
      <c r="Q513">
        <v>0.30374999999999996</v>
      </c>
      <c r="R513" s="5">
        <v>13.5</v>
      </c>
    </row>
    <row r="514" spans="1:18" x14ac:dyDescent="0.25">
      <c r="A514" t="s">
        <v>1014</v>
      </c>
      <c r="B514" s="7">
        <v>43535</v>
      </c>
      <c r="C514" t="str">
        <f>TEXT(Table3[[#This Row],[Order Date]],"yyyy")</f>
        <v>2019</v>
      </c>
      <c r="D514" t="s">
        <v>6234</v>
      </c>
      <c r="E514" t="s">
        <v>1015</v>
      </c>
      <c r="F514" t="s">
        <v>138</v>
      </c>
      <c r="G514">
        <v>3</v>
      </c>
      <c r="H514" t="s">
        <v>4209</v>
      </c>
      <c r="I514" t="s">
        <v>6210</v>
      </c>
      <c r="J514" t="s">
        <v>4213</v>
      </c>
      <c r="K514" t="s">
        <v>1947</v>
      </c>
      <c r="L514" t="s">
        <v>6199</v>
      </c>
      <c r="M514" t="s">
        <v>6215</v>
      </c>
      <c r="N514">
        <v>1</v>
      </c>
      <c r="O514">
        <v>15.85</v>
      </c>
      <c r="P514">
        <v>1.585</v>
      </c>
      <c r="Q514">
        <v>2.0605000000000002</v>
      </c>
      <c r="R514" s="5">
        <v>47.55</v>
      </c>
    </row>
    <row r="515" spans="1:18" x14ac:dyDescent="0.25">
      <c r="A515" t="s">
        <v>1016</v>
      </c>
      <c r="B515" s="7">
        <v>44691</v>
      </c>
      <c r="C515" t="str">
        <f>TEXT(Table3[[#This Row],[Order Date]],"yyyy")</f>
        <v>2022</v>
      </c>
      <c r="D515" t="s">
        <v>6233</v>
      </c>
      <c r="E515" t="s">
        <v>1017</v>
      </c>
      <c r="F515" t="s">
        <v>138</v>
      </c>
      <c r="G515">
        <v>5</v>
      </c>
      <c r="H515" t="s">
        <v>4214</v>
      </c>
      <c r="I515" t="s">
        <v>6210</v>
      </c>
      <c r="J515" t="s">
        <v>2013</v>
      </c>
      <c r="K515" t="s">
        <v>1947</v>
      </c>
      <c r="L515" t="s">
        <v>6199</v>
      </c>
      <c r="M515" t="s">
        <v>6215</v>
      </c>
      <c r="N515">
        <v>1</v>
      </c>
      <c r="O515">
        <v>15.85</v>
      </c>
      <c r="P515">
        <v>1.585</v>
      </c>
      <c r="Q515">
        <v>2.0605000000000002</v>
      </c>
      <c r="R515" s="5">
        <v>79.25</v>
      </c>
    </row>
    <row r="516" spans="1:18" x14ac:dyDescent="0.25">
      <c r="A516" t="s">
        <v>1018</v>
      </c>
      <c r="B516" s="7">
        <v>44555</v>
      </c>
      <c r="C516" t="str">
        <f>TEXT(Table3[[#This Row],[Order Date]],"yyyy")</f>
        <v>2021</v>
      </c>
      <c r="D516" t="s">
        <v>6237</v>
      </c>
      <c r="E516" t="s">
        <v>1019</v>
      </c>
      <c r="F516" t="s">
        <v>83</v>
      </c>
      <c r="G516">
        <v>6</v>
      </c>
      <c r="H516" t="s">
        <v>4217</v>
      </c>
      <c r="I516" t="s">
        <v>6210</v>
      </c>
      <c r="J516" t="s">
        <v>2816</v>
      </c>
      <c r="K516" t="s">
        <v>1938</v>
      </c>
      <c r="L516" t="s">
        <v>6199</v>
      </c>
      <c r="M516" t="s">
        <v>6193</v>
      </c>
      <c r="N516">
        <v>0.2</v>
      </c>
      <c r="O516">
        <v>4.3650000000000002</v>
      </c>
      <c r="P516">
        <v>2.1825000000000001</v>
      </c>
      <c r="Q516">
        <v>0.56745000000000001</v>
      </c>
      <c r="R516" s="5">
        <v>26.19</v>
      </c>
    </row>
    <row r="517" spans="1:18" x14ac:dyDescent="0.25">
      <c r="A517" t="s">
        <v>1020</v>
      </c>
      <c r="B517" s="7">
        <v>44673</v>
      </c>
      <c r="C517" t="str">
        <f>TEXT(Table3[[#This Row],[Order Date]],"yyyy")</f>
        <v>2022</v>
      </c>
      <c r="D517" t="s">
        <v>6236</v>
      </c>
      <c r="E517" t="s">
        <v>1021</v>
      </c>
      <c r="F517" t="s">
        <v>163</v>
      </c>
      <c r="G517">
        <v>3</v>
      </c>
      <c r="H517" t="s">
        <v>4221</v>
      </c>
      <c r="I517" t="s">
        <v>6210</v>
      </c>
      <c r="J517" t="s">
        <v>2009</v>
      </c>
      <c r="K517" t="s">
        <v>1947</v>
      </c>
      <c r="L517" t="s">
        <v>6211</v>
      </c>
      <c r="M517" t="s">
        <v>6215</v>
      </c>
      <c r="N517">
        <v>0.5</v>
      </c>
      <c r="O517">
        <v>7.169999999999999</v>
      </c>
      <c r="P517">
        <v>1.4339999999999997</v>
      </c>
      <c r="Q517">
        <v>0.43019999999999992</v>
      </c>
      <c r="R517" s="5">
        <v>21.509999999999998</v>
      </c>
    </row>
    <row r="518" spans="1:18" x14ac:dyDescent="0.25">
      <c r="A518" t="s">
        <v>1022</v>
      </c>
      <c r="B518" s="7">
        <v>44723</v>
      </c>
      <c r="C518" t="str">
        <f>TEXT(Table3[[#This Row],[Order Date]],"yyyy")</f>
        <v>2022</v>
      </c>
      <c r="D518" t="s">
        <v>6229</v>
      </c>
      <c r="E518" t="s">
        <v>1023</v>
      </c>
      <c r="F518" t="s">
        <v>41</v>
      </c>
      <c r="G518">
        <v>5</v>
      </c>
      <c r="H518" t="s">
        <v>4225</v>
      </c>
      <c r="I518" t="s">
        <v>6210</v>
      </c>
      <c r="J518" t="s">
        <v>4228</v>
      </c>
      <c r="K518" t="s">
        <v>1938</v>
      </c>
      <c r="L518" t="s">
        <v>6211</v>
      </c>
      <c r="M518" t="s">
        <v>6195</v>
      </c>
      <c r="N518">
        <v>2.5</v>
      </c>
      <c r="O518">
        <v>20.584999999999997</v>
      </c>
      <c r="P518">
        <v>0.82339999999999991</v>
      </c>
      <c r="Q518">
        <v>1.2350999999999999</v>
      </c>
      <c r="R518" s="5">
        <v>102.92499999999998</v>
      </c>
    </row>
    <row r="519" spans="1:18" x14ac:dyDescent="0.25">
      <c r="A519" t="s">
        <v>1024</v>
      </c>
      <c r="B519" s="7">
        <v>44678</v>
      </c>
      <c r="C519" t="str">
        <f>TEXT(Table3[[#This Row],[Order Date]],"yyyy")</f>
        <v>2022</v>
      </c>
      <c r="D519" t="s">
        <v>6236</v>
      </c>
      <c r="E519" t="s">
        <v>1025</v>
      </c>
      <c r="F519" t="s">
        <v>44</v>
      </c>
      <c r="G519">
        <v>2</v>
      </c>
      <c r="H519" t="s">
        <v>4229</v>
      </c>
      <c r="I519" t="s">
        <v>6210</v>
      </c>
      <c r="J519" t="s">
        <v>4232</v>
      </c>
      <c r="K519" t="s">
        <v>1947</v>
      </c>
      <c r="L519" t="s">
        <v>6199</v>
      </c>
      <c r="M519" t="s">
        <v>6195</v>
      </c>
      <c r="N519">
        <v>0.2</v>
      </c>
      <c r="O519">
        <v>3.8849999999999998</v>
      </c>
      <c r="P519">
        <v>1.9424999999999999</v>
      </c>
      <c r="Q519">
        <v>0.50505</v>
      </c>
      <c r="R519" s="5">
        <v>7.77</v>
      </c>
    </row>
    <row r="520" spans="1:18" x14ac:dyDescent="0.25">
      <c r="A520" t="s">
        <v>1026</v>
      </c>
      <c r="B520" s="7">
        <v>44194</v>
      </c>
      <c r="C520" t="str">
        <f>TEXT(Table3[[#This Row],[Order Date]],"yyyy")</f>
        <v>2020</v>
      </c>
      <c r="D520" t="s">
        <v>6237</v>
      </c>
      <c r="E520" t="s">
        <v>1027</v>
      </c>
      <c r="F520" t="s">
        <v>536</v>
      </c>
      <c r="G520">
        <v>5</v>
      </c>
      <c r="H520" t="s">
        <v>4233</v>
      </c>
      <c r="I520" t="s">
        <v>6210</v>
      </c>
      <c r="J520" t="s">
        <v>4237</v>
      </c>
      <c r="K520" t="s">
        <v>1947</v>
      </c>
      <c r="L520" t="s">
        <v>6212</v>
      </c>
      <c r="M520" t="s">
        <v>6195</v>
      </c>
      <c r="N520">
        <v>2.5</v>
      </c>
      <c r="O520">
        <v>27.945</v>
      </c>
      <c r="P520">
        <v>1.1177999999999999</v>
      </c>
      <c r="Q520">
        <v>3.07395</v>
      </c>
      <c r="R520" s="5">
        <v>139.72499999999999</v>
      </c>
    </row>
    <row r="521" spans="1:18" x14ac:dyDescent="0.25">
      <c r="A521" t="s">
        <v>1028</v>
      </c>
      <c r="B521" s="7">
        <v>44026</v>
      </c>
      <c r="C521" t="str">
        <f>TEXT(Table3[[#This Row],[Order Date]],"yyyy")</f>
        <v>2020</v>
      </c>
      <c r="D521" t="s">
        <v>6230</v>
      </c>
      <c r="E521" t="s">
        <v>994</v>
      </c>
      <c r="F521" t="s">
        <v>78</v>
      </c>
      <c r="G521">
        <v>2</v>
      </c>
      <c r="H521" t="s">
        <v>4195</v>
      </c>
      <c r="I521" t="s">
        <v>1945</v>
      </c>
      <c r="J521" t="s">
        <v>4199</v>
      </c>
      <c r="K521" t="s">
        <v>1938</v>
      </c>
      <c r="L521" t="s">
        <v>6213</v>
      </c>
      <c r="M521" t="s">
        <v>6195</v>
      </c>
      <c r="N521">
        <v>0.5</v>
      </c>
      <c r="O521">
        <v>5.97</v>
      </c>
      <c r="P521">
        <v>1.194</v>
      </c>
      <c r="Q521">
        <v>0.5373</v>
      </c>
      <c r="R521" s="5">
        <v>11.94</v>
      </c>
    </row>
    <row r="522" spans="1:18" x14ac:dyDescent="0.25">
      <c r="A522" t="s">
        <v>1029</v>
      </c>
      <c r="B522" s="7">
        <v>44446</v>
      </c>
      <c r="C522" t="str">
        <f>TEXT(Table3[[#This Row],[Order Date]],"yyyy")</f>
        <v>2021</v>
      </c>
      <c r="D522" t="s">
        <v>6228</v>
      </c>
      <c r="E522" t="s">
        <v>1030</v>
      </c>
      <c r="F522" t="s">
        <v>44</v>
      </c>
      <c r="G522">
        <v>1</v>
      </c>
      <c r="H522" t="s">
        <v>4243</v>
      </c>
      <c r="I522" t="s">
        <v>6210</v>
      </c>
      <c r="J522" t="s">
        <v>2140</v>
      </c>
      <c r="K522" t="s">
        <v>1947</v>
      </c>
      <c r="L522" t="s">
        <v>6199</v>
      </c>
      <c r="M522" t="s">
        <v>6195</v>
      </c>
      <c r="N522">
        <v>0.2</v>
      </c>
      <c r="O522">
        <v>3.8849999999999998</v>
      </c>
      <c r="P522">
        <v>1.9424999999999999</v>
      </c>
      <c r="Q522">
        <v>0.50505</v>
      </c>
      <c r="R522" s="5">
        <v>3.8849999999999998</v>
      </c>
    </row>
    <row r="523" spans="1:18" x14ac:dyDescent="0.25">
      <c r="A523" t="s">
        <v>1029</v>
      </c>
      <c r="B523" s="7">
        <v>44446</v>
      </c>
      <c r="C523" t="str">
        <f>TEXT(Table3[[#This Row],[Order Date]],"yyyy")</f>
        <v>2021</v>
      </c>
      <c r="D523" t="s">
        <v>6228</v>
      </c>
      <c r="E523" t="s">
        <v>1030</v>
      </c>
      <c r="F523" t="s">
        <v>8</v>
      </c>
      <c r="G523">
        <v>4</v>
      </c>
      <c r="H523" t="s">
        <v>4243</v>
      </c>
      <c r="I523" t="s">
        <v>6210</v>
      </c>
      <c r="J523" t="s">
        <v>2140</v>
      </c>
      <c r="K523" t="s">
        <v>1947</v>
      </c>
      <c r="L523" t="s">
        <v>6211</v>
      </c>
      <c r="M523" t="s">
        <v>6193</v>
      </c>
      <c r="N523">
        <v>1</v>
      </c>
      <c r="O523">
        <v>9.9499999999999993</v>
      </c>
      <c r="P523">
        <v>0.99499999999999988</v>
      </c>
      <c r="Q523">
        <v>0.59699999999999998</v>
      </c>
      <c r="R523" s="5">
        <v>39.799999999999997</v>
      </c>
    </row>
    <row r="524" spans="1:18" x14ac:dyDescent="0.25">
      <c r="A524" t="s">
        <v>1031</v>
      </c>
      <c r="B524" s="7">
        <v>43625</v>
      </c>
      <c r="C524" t="str">
        <f>TEXT(Table3[[#This Row],[Order Date]],"yyyy")</f>
        <v>2019</v>
      </c>
      <c r="D524" t="s">
        <v>6229</v>
      </c>
      <c r="E524" t="s">
        <v>1032</v>
      </c>
      <c r="F524" t="s">
        <v>28</v>
      </c>
      <c r="G524">
        <v>5</v>
      </c>
      <c r="H524" t="s">
        <v>4252</v>
      </c>
      <c r="I524" t="s">
        <v>6210</v>
      </c>
      <c r="J524" t="s">
        <v>3505</v>
      </c>
      <c r="K524" t="s">
        <v>1947</v>
      </c>
      <c r="L524" t="s">
        <v>6211</v>
      </c>
      <c r="M524" t="s">
        <v>6193</v>
      </c>
      <c r="N524">
        <v>0.5</v>
      </c>
      <c r="O524">
        <v>5.97</v>
      </c>
      <c r="P524">
        <v>1.194</v>
      </c>
      <c r="Q524">
        <v>0.35819999999999996</v>
      </c>
      <c r="R524" s="5">
        <v>29.849999999999998</v>
      </c>
    </row>
    <row r="525" spans="1:18" x14ac:dyDescent="0.25">
      <c r="A525" t="s">
        <v>1033</v>
      </c>
      <c r="B525" s="7">
        <v>44129</v>
      </c>
      <c r="C525" t="str">
        <f>TEXT(Table3[[#This Row],[Order Date]],"yyyy")</f>
        <v>2020</v>
      </c>
      <c r="D525" t="s">
        <v>6235</v>
      </c>
      <c r="E525" t="s">
        <v>1034</v>
      </c>
      <c r="F525" t="s">
        <v>115</v>
      </c>
      <c r="G525">
        <v>1</v>
      </c>
      <c r="H525" t="s">
        <v>4256</v>
      </c>
      <c r="I525" t="s">
        <v>1945</v>
      </c>
      <c r="J525" t="s">
        <v>4260</v>
      </c>
      <c r="K525" t="s">
        <v>1947</v>
      </c>
      <c r="L525" t="s">
        <v>6199</v>
      </c>
      <c r="M525" t="s">
        <v>6195</v>
      </c>
      <c r="N525">
        <v>2.5</v>
      </c>
      <c r="O525">
        <v>29.784999999999997</v>
      </c>
      <c r="P525">
        <v>1.1913999999999998</v>
      </c>
      <c r="Q525">
        <v>3.8720499999999998</v>
      </c>
      <c r="R525" s="5">
        <v>29.784999999999997</v>
      </c>
    </row>
    <row r="526" spans="1:18" x14ac:dyDescent="0.25">
      <c r="A526" t="s">
        <v>1035</v>
      </c>
      <c r="B526" s="7">
        <v>44255</v>
      </c>
      <c r="C526" t="str">
        <f>TEXT(Table3[[#This Row],[Order Date]],"yyyy")</f>
        <v>2021</v>
      </c>
      <c r="D526" t="s">
        <v>6238</v>
      </c>
      <c r="E526" t="s">
        <v>1036</v>
      </c>
      <c r="F526" t="s">
        <v>110</v>
      </c>
      <c r="G526">
        <v>2</v>
      </c>
      <c r="H526" t="s">
        <v>4261</v>
      </c>
      <c r="I526" t="s">
        <v>6210</v>
      </c>
      <c r="J526" t="s">
        <v>1958</v>
      </c>
      <c r="K526" t="s">
        <v>1947</v>
      </c>
      <c r="L526" t="s">
        <v>6199</v>
      </c>
      <c r="M526" t="s">
        <v>6215</v>
      </c>
      <c r="N526">
        <v>2.5</v>
      </c>
      <c r="O526">
        <v>36.454999999999998</v>
      </c>
      <c r="P526">
        <v>1.4581999999999999</v>
      </c>
      <c r="Q526">
        <v>4.7391499999999995</v>
      </c>
      <c r="R526" s="5">
        <v>72.91</v>
      </c>
    </row>
    <row r="527" spans="1:18" x14ac:dyDescent="0.25">
      <c r="A527" t="s">
        <v>1037</v>
      </c>
      <c r="B527" s="7">
        <v>44038</v>
      </c>
      <c r="C527" t="str">
        <f>TEXT(Table3[[#This Row],[Order Date]],"yyyy")</f>
        <v>2020</v>
      </c>
      <c r="D527" t="s">
        <v>6230</v>
      </c>
      <c r="E527" t="s">
        <v>1038</v>
      </c>
      <c r="F527" t="s">
        <v>107</v>
      </c>
      <c r="G527">
        <v>5</v>
      </c>
      <c r="H527" t="s">
        <v>4264</v>
      </c>
      <c r="I527" t="s">
        <v>6210</v>
      </c>
      <c r="J527" t="s">
        <v>4267</v>
      </c>
      <c r="K527" t="s">
        <v>1938</v>
      </c>
      <c r="L527" t="s">
        <v>6211</v>
      </c>
      <c r="M527" t="s">
        <v>6195</v>
      </c>
      <c r="N527">
        <v>0.2</v>
      </c>
      <c r="O527">
        <v>2.6849999999999996</v>
      </c>
      <c r="P527">
        <v>1.3424999999999998</v>
      </c>
      <c r="Q527">
        <v>0.16109999999999997</v>
      </c>
      <c r="R527" s="5">
        <v>13.424999999999997</v>
      </c>
    </row>
    <row r="528" spans="1:18" x14ac:dyDescent="0.25">
      <c r="A528" t="s">
        <v>1039</v>
      </c>
      <c r="B528" s="7">
        <v>44717</v>
      </c>
      <c r="C528" t="str">
        <f>TEXT(Table3[[#This Row],[Order Date]],"yyyy")</f>
        <v>2022</v>
      </c>
      <c r="D528" t="s">
        <v>6229</v>
      </c>
      <c r="E528" t="s">
        <v>1040</v>
      </c>
      <c r="F528" t="s">
        <v>118</v>
      </c>
      <c r="G528">
        <v>4</v>
      </c>
      <c r="H528" t="s">
        <v>4268</v>
      </c>
      <c r="I528" t="s">
        <v>6210</v>
      </c>
      <c r="J528" t="s">
        <v>3487</v>
      </c>
      <c r="K528" t="s">
        <v>1938</v>
      </c>
      <c r="L528" t="s">
        <v>6212</v>
      </c>
      <c r="M528" t="s">
        <v>6193</v>
      </c>
      <c r="N528">
        <v>2.5</v>
      </c>
      <c r="O528">
        <v>31.624999999999996</v>
      </c>
      <c r="P528">
        <v>1.2649999999999999</v>
      </c>
      <c r="Q528">
        <v>3.4787499999999998</v>
      </c>
      <c r="R528" s="5">
        <v>126.49999999999999</v>
      </c>
    </row>
    <row r="529" spans="1:18" x14ac:dyDescent="0.25">
      <c r="A529" t="s">
        <v>1041</v>
      </c>
      <c r="B529" s="7">
        <v>43517</v>
      </c>
      <c r="C529" t="str">
        <f>TEXT(Table3[[#This Row],[Order Date]],"yyyy")</f>
        <v>2019</v>
      </c>
      <c r="D529" t="s">
        <v>6238</v>
      </c>
      <c r="E529" t="s">
        <v>1042</v>
      </c>
      <c r="F529" t="s">
        <v>9</v>
      </c>
      <c r="G529">
        <v>5</v>
      </c>
      <c r="H529" t="s">
        <v>4272</v>
      </c>
      <c r="I529" t="s">
        <v>2112</v>
      </c>
      <c r="J529" t="s">
        <v>2238</v>
      </c>
      <c r="K529" t="s">
        <v>1947</v>
      </c>
      <c r="L529" t="s">
        <v>6212</v>
      </c>
      <c r="M529" t="s">
        <v>6193</v>
      </c>
      <c r="N529">
        <v>0.5</v>
      </c>
      <c r="O529">
        <v>8.25</v>
      </c>
      <c r="P529">
        <v>1.65</v>
      </c>
      <c r="Q529">
        <v>0.90749999999999997</v>
      </c>
      <c r="R529" s="5">
        <v>41.25</v>
      </c>
    </row>
    <row r="530" spans="1:18" x14ac:dyDescent="0.25">
      <c r="A530" t="s">
        <v>1043</v>
      </c>
      <c r="B530" s="7">
        <v>43926</v>
      </c>
      <c r="C530" t="str">
        <f>TEXT(Table3[[#This Row],[Order Date]],"yyyy")</f>
        <v>2020</v>
      </c>
      <c r="D530" t="s">
        <v>6236</v>
      </c>
      <c r="E530" t="s">
        <v>1044</v>
      </c>
      <c r="F530" t="s">
        <v>182</v>
      </c>
      <c r="G530">
        <v>6</v>
      </c>
      <c r="H530" t="s">
        <v>4276</v>
      </c>
      <c r="I530" t="s">
        <v>6210</v>
      </c>
      <c r="J530" t="s">
        <v>4280</v>
      </c>
      <c r="K530" t="s">
        <v>1947</v>
      </c>
      <c r="L530" t="s">
        <v>6212</v>
      </c>
      <c r="M530" t="s">
        <v>6215</v>
      </c>
      <c r="N530">
        <v>0.5</v>
      </c>
      <c r="O530">
        <v>8.91</v>
      </c>
      <c r="P530">
        <v>1.782</v>
      </c>
      <c r="Q530">
        <v>0.98009999999999997</v>
      </c>
      <c r="R530" s="5">
        <v>53.46</v>
      </c>
    </row>
    <row r="531" spans="1:18" x14ac:dyDescent="0.25">
      <c r="A531" t="s">
        <v>1045</v>
      </c>
      <c r="B531" s="7">
        <v>43475</v>
      </c>
      <c r="C531" t="str">
        <f>TEXT(Table3[[#This Row],[Order Date]],"yyyy")</f>
        <v>2019</v>
      </c>
      <c r="D531" t="s">
        <v>6232</v>
      </c>
      <c r="E531" t="s">
        <v>1046</v>
      </c>
      <c r="F531" t="s">
        <v>8</v>
      </c>
      <c r="G531">
        <v>6</v>
      </c>
      <c r="H531" t="s">
        <v>4281</v>
      </c>
      <c r="I531" t="s">
        <v>6210</v>
      </c>
      <c r="J531" t="s">
        <v>2000</v>
      </c>
      <c r="K531" t="s">
        <v>1947</v>
      </c>
      <c r="L531" t="s">
        <v>6211</v>
      </c>
      <c r="M531" t="s">
        <v>6193</v>
      </c>
      <c r="N531">
        <v>1</v>
      </c>
      <c r="O531">
        <v>9.9499999999999993</v>
      </c>
      <c r="P531">
        <v>0.99499999999999988</v>
      </c>
      <c r="Q531">
        <v>0.59699999999999998</v>
      </c>
      <c r="R531" s="5">
        <v>59.699999999999996</v>
      </c>
    </row>
    <row r="532" spans="1:18" x14ac:dyDescent="0.25">
      <c r="A532" t="s">
        <v>1047</v>
      </c>
      <c r="B532" s="7">
        <v>44663</v>
      </c>
      <c r="C532" t="str">
        <f>TEXT(Table3[[#This Row],[Order Date]],"yyyy")</f>
        <v>2022</v>
      </c>
      <c r="D532" t="s">
        <v>6236</v>
      </c>
      <c r="E532" t="s">
        <v>1048</v>
      </c>
      <c r="F532" t="s">
        <v>8</v>
      </c>
      <c r="G532">
        <v>6</v>
      </c>
      <c r="H532" t="s">
        <v>4285</v>
      </c>
      <c r="I532" t="s">
        <v>6210</v>
      </c>
      <c r="J532" t="s">
        <v>2207</v>
      </c>
      <c r="K532" t="s">
        <v>1947</v>
      </c>
      <c r="L532" t="s">
        <v>6211</v>
      </c>
      <c r="M532" t="s">
        <v>6193</v>
      </c>
      <c r="N532">
        <v>1</v>
      </c>
      <c r="O532">
        <v>9.9499999999999993</v>
      </c>
      <c r="P532">
        <v>0.99499999999999988</v>
      </c>
      <c r="Q532">
        <v>0.59699999999999998</v>
      </c>
      <c r="R532" s="5">
        <v>59.699999999999996</v>
      </c>
    </row>
    <row r="533" spans="1:18" x14ac:dyDescent="0.25">
      <c r="A533" t="s">
        <v>1049</v>
      </c>
      <c r="B533" s="7">
        <v>44591</v>
      </c>
      <c r="C533" t="str">
        <f>TEXT(Table3[[#This Row],[Order Date]],"yyyy")</f>
        <v>2022</v>
      </c>
      <c r="D533" t="s">
        <v>6232</v>
      </c>
      <c r="E533" t="s">
        <v>1050</v>
      </c>
      <c r="F533" t="s">
        <v>185</v>
      </c>
      <c r="G533">
        <v>5</v>
      </c>
      <c r="H533" t="s">
        <v>4289</v>
      </c>
      <c r="I533" t="s">
        <v>6210</v>
      </c>
      <c r="J533" t="s">
        <v>2477</v>
      </c>
      <c r="K533" t="s">
        <v>1947</v>
      </c>
      <c r="L533" t="s">
        <v>6211</v>
      </c>
      <c r="M533" t="s">
        <v>6195</v>
      </c>
      <c r="N533">
        <v>1</v>
      </c>
      <c r="O533">
        <v>8.9499999999999993</v>
      </c>
      <c r="P533">
        <v>0.89499999999999991</v>
      </c>
      <c r="Q533">
        <v>0.53699999999999992</v>
      </c>
      <c r="R533" s="5">
        <v>44.75</v>
      </c>
    </row>
    <row r="534" spans="1:18" x14ac:dyDescent="0.25">
      <c r="A534" t="s">
        <v>1051</v>
      </c>
      <c r="B534" s="7">
        <v>44330</v>
      </c>
      <c r="C534" t="str">
        <f>TEXT(Table3[[#This Row],[Order Date]],"yyyy")</f>
        <v>2021</v>
      </c>
      <c r="D534" t="s">
        <v>6233</v>
      </c>
      <c r="E534" t="s">
        <v>1052</v>
      </c>
      <c r="F534" t="s">
        <v>9</v>
      </c>
      <c r="G534">
        <v>2</v>
      </c>
      <c r="H534" t="s">
        <v>4293</v>
      </c>
      <c r="I534" t="s">
        <v>6210</v>
      </c>
      <c r="J534" t="s">
        <v>4297</v>
      </c>
      <c r="K534" t="s">
        <v>1938</v>
      </c>
      <c r="L534" t="s">
        <v>6212</v>
      </c>
      <c r="M534" t="s">
        <v>6193</v>
      </c>
      <c r="N534">
        <v>0.5</v>
      </c>
      <c r="O534">
        <v>8.25</v>
      </c>
      <c r="P534">
        <v>1.65</v>
      </c>
      <c r="Q534">
        <v>0.90749999999999997</v>
      </c>
      <c r="R534" s="5">
        <v>16.5</v>
      </c>
    </row>
    <row r="535" spans="1:18" x14ac:dyDescent="0.25">
      <c r="A535" t="s">
        <v>1053</v>
      </c>
      <c r="B535" s="7">
        <v>44724</v>
      </c>
      <c r="C535" t="str">
        <f>TEXT(Table3[[#This Row],[Order Date]],"yyyy")</f>
        <v>2022</v>
      </c>
      <c r="D535" t="s">
        <v>6229</v>
      </c>
      <c r="E535" t="s">
        <v>1054</v>
      </c>
      <c r="F535" t="s">
        <v>152</v>
      </c>
      <c r="G535">
        <v>4</v>
      </c>
      <c r="H535" t="s">
        <v>4298</v>
      </c>
      <c r="I535" t="s">
        <v>6210</v>
      </c>
      <c r="J535" t="s">
        <v>2321</v>
      </c>
      <c r="K535" t="s">
        <v>1947</v>
      </c>
      <c r="L535" t="s">
        <v>6211</v>
      </c>
      <c r="M535" t="s">
        <v>6195</v>
      </c>
      <c r="N535">
        <v>0.5</v>
      </c>
      <c r="O535">
        <v>5.3699999999999992</v>
      </c>
      <c r="P535">
        <v>1.0739999999999998</v>
      </c>
      <c r="Q535">
        <v>0.32219999999999993</v>
      </c>
      <c r="R535" s="5">
        <v>21.479999999999997</v>
      </c>
    </row>
    <row r="536" spans="1:18" x14ac:dyDescent="0.25">
      <c r="A536" t="s">
        <v>1055</v>
      </c>
      <c r="B536" s="7">
        <v>44563</v>
      </c>
      <c r="C536" t="str">
        <f>TEXT(Table3[[#This Row],[Order Date]],"yyyy")</f>
        <v>2022</v>
      </c>
      <c r="D536" t="s">
        <v>6232</v>
      </c>
      <c r="E536" t="s">
        <v>1056</v>
      </c>
      <c r="F536" t="s">
        <v>47</v>
      </c>
      <c r="G536">
        <v>2</v>
      </c>
      <c r="H536" t="s">
        <v>4301</v>
      </c>
      <c r="I536" t="s">
        <v>1945</v>
      </c>
      <c r="J536" t="s">
        <v>2341</v>
      </c>
      <c r="K536" t="s">
        <v>1938</v>
      </c>
      <c r="L536" t="s">
        <v>6211</v>
      </c>
      <c r="M536" t="s">
        <v>6193</v>
      </c>
      <c r="N536">
        <v>2.5</v>
      </c>
      <c r="O536">
        <v>22.884999999999998</v>
      </c>
      <c r="P536">
        <v>0.91539999999999988</v>
      </c>
      <c r="Q536">
        <v>1.3730999999999998</v>
      </c>
      <c r="R536" s="5">
        <v>45.769999999999996</v>
      </c>
    </row>
    <row r="537" spans="1:18" x14ac:dyDescent="0.25">
      <c r="A537" t="s">
        <v>1057</v>
      </c>
      <c r="B537" s="7">
        <v>44585</v>
      </c>
      <c r="C537" t="str">
        <f>TEXT(Table3[[#This Row],[Order Date]],"yyyy")</f>
        <v>2022</v>
      </c>
      <c r="D537" t="s">
        <v>6232</v>
      </c>
      <c r="E537" t="s">
        <v>1058</v>
      </c>
      <c r="F537" t="s">
        <v>25</v>
      </c>
      <c r="G537">
        <v>2</v>
      </c>
      <c r="H537" t="s">
        <v>4305</v>
      </c>
      <c r="I537" t="s">
        <v>1945</v>
      </c>
      <c r="J537" t="s">
        <v>2596</v>
      </c>
      <c r="K537" t="s">
        <v>1947</v>
      </c>
      <c r="L537" t="s">
        <v>6199</v>
      </c>
      <c r="M537" t="s">
        <v>6215</v>
      </c>
      <c r="N537">
        <v>0.2</v>
      </c>
      <c r="O537">
        <v>4.7549999999999999</v>
      </c>
      <c r="P537">
        <v>2.3774999999999999</v>
      </c>
      <c r="Q537">
        <v>0.61814999999999998</v>
      </c>
      <c r="R537" s="5">
        <v>9.51</v>
      </c>
    </row>
    <row r="538" spans="1:18" x14ac:dyDescent="0.25">
      <c r="A538" t="s">
        <v>1059</v>
      </c>
      <c r="B538" s="7">
        <v>43544</v>
      </c>
      <c r="C538" t="str">
        <f>TEXT(Table3[[#This Row],[Order Date]],"yyyy")</f>
        <v>2019</v>
      </c>
      <c r="D538" t="s">
        <v>6234</v>
      </c>
      <c r="E538" t="s">
        <v>994</v>
      </c>
      <c r="F538" t="s">
        <v>107</v>
      </c>
      <c r="G538">
        <v>3</v>
      </c>
      <c r="H538" t="s">
        <v>4195</v>
      </c>
      <c r="I538" t="s">
        <v>1945</v>
      </c>
      <c r="J538" t="s">
        <v>4199</v>
      </c>
      <c r="K538" t="s">
        <v>1938</v>
      </c>
      <c r="L538" t="s">
        <v>6211</v>
      </c>
      <c r="M538" t="s">
        <v>6195</v>
      </c>
      <c r="N538">
        <v>0.2</v>
      </c>
      <c r="O538">
        <v>2.6849999999999996</v>
      </c>
      <c r="P538">
        <v>1.3424999999999998</v>
      </c>
      <c r="Q538">
        <v>0.16109999999999997</v>
      </c>
      <c r="R538" s="5">
        <v>8.0549999999999997</v>
      </c>
    </row>
    <row r="539" spans="1:18" x14ac:dyDescent="0.25">
      <c r="A539" t="s">
        <v>1060</v>
      </c>
      <c r="B539" s="7">
        <v>44156</v>
      </c>
      <c r="C539" t="str">
        <f>TEXT(Table3[[#This Row],[Order Date]],"yyyy")</f>
        <v>2020</v>
      </c>
      <c r="D539" t="s">
        <v>6239</v>
      </c>
      <c r="E539" t="s">
        <v>1061</v>
      </c>
      <c r="F539" t="s">
        <v>536</v>
      </c>
      <c r="G539">
        <v>4</v>
      </c>
      <c r="H539" t="s">
        <v>4313</v>
      </c>
      <c r="I539" t="s">
        <v>6210</v>
      </c>
      <c r="J539" t="s">
        <v>2551</v>
      </c>
      <c r="K539" t="s">
        <v>1938</v>
      </c>
      <c r="L539" t="s">
        <v>6212</v>
      </c>
      <c r="M539" t="s">
        <v>6195</v>
      </c>
      <c r="N539">
        <v>2.5</v>
      </c>
      <c r="O539">
        <v>27.945</v>
      </c>
      <c r="P539">
        <v>1.1177999999999999</v>
      </c>
      <c r="Q539">
        <v>3.07395</v>
      </c>
      <c r="R539" s="5">
        <v>111.78</v>
      </c>
    </row>
    <row r="540" spans="1:18" x14ac:dyDescent="0.25">
      <c r="A540" t="s">
        <v>1062</v>
      </c>
      <c r="B540" s="7">
        <v>44482</v>
      </c>
      <c r="C540" t="str">
        <f>TEXT(Table3[[#This Row],[Order Date]],"yyyy")</f>
        <v>2021</v>
      </c>
      <c r="D540" t="s">
        <v>6235</v>
      </c>
      <c r="E540" t="s">
        <v>1063</v>
      </c>
      <c r="F540" t="s">
        <v>107</v>
      </c>
      <c r="G540">
        <v>4</v>
      </c>
      <c r="H540" t="s">
        <v>4316</v>
      </c>
      <c r="I540" t="s">
        <v>6210</v>
      </c>
      <c r="J540" t="s">
        <v>4319</v>
      </c>
      <c r="K540" t="s">
        <v>1938</v>
      </c>
      <c r="L540" t="s">
        <v>6211</v>
      </c>
      <c r="M540" t="s">
        <v>6195</v>
      </c>
      <c r="N540">
        <v>0.2</v>
      </c>
      <c r="O540">
        <v>2.6849999999999996</v>
      </c>
      <c r="P540">
        <v>1.3424999999999998</v>
      </c>
      <c r="Q540">
        <v>0.16109999999999997</v>
      </c>
      <c r="R540" s="5">
        <v>10.739999999999998</v>
      </c>
    </row>
    <row r="541" spans="1:18" x14ac:dyDescent="0.25">
      <c r="A541" t="s">
        <v>1064</v>
      </c>
      <c r="B541" s="7">
        <v>44488</v>
      </c>
      <c r="C541" t="str">
        <f>TEXT(Table3[[#This Row],[Order Date]],"yyyy")</f>
        <v>2021</v>
      </c>
      <c r="D541" t="s">
        <v>6235</v>
      </c>
      <c r="E541" t="s">
        <v>1065</v>
      </c>
      <c r="F541" t="s">
        <v>152</v>
      </c>
      <c r="G541">
        <v>5</v>
      </c>
      <c r="H541" t="s">
        <v>4320</v>
      </c>
      <c r="I541" t="s">
        <v>6210</v>
      </c>
      <c r="J541" t="s">
        <v>2118</v>
      </c>
      <c r="K541" t="s">
        <v>1947</v>
      </c>
      <c r="L541" t="s">
        <v>6211</v>
      </c>
      <c r="M541" t="s">
        <v>6195</v>
      </c>
      <c r="N541">
        <v>0.5</v>
      </c>
      <c r="O541">
        <v>5.3699999999999992</v>
      </c>
      <c r="P541">
        <v>1.0739999999999998</v>
      </c>
      <c r="Q541">
        <v>0.32219999999999993</v>
      </c>
      <c r="R541" s="5">
        <v>26.849999999999994</v>
      </c>
    </row>
    <row r="542" spans="1:18" x14ac:dyDescent="0.25">
      <c r="A542" t="s">
        <v>1066</v>
      </c>
      <c r="B542" s="7">
        <v>43584</v>
      </c>
      <c r="C542" t="str">
        <f>TEXT(Table3[[#This Row],[Order Date]],"yyyy")</f>
        <v>2019</v>
      </c>
      <c r="D542" t="s">
        <v>6236</v>
      </c>
      <c r="E542" t="s">
        <v>1067</v>
      </c>
      <c r="F542" t="s">
        <v>138</v>
      </c>
      <c r="G542">
        <v>4</v>
      </c>
      <c r="H542" t="s">
        <v>4323</v>
      </c>
      <c r="I542" t="s">
        <v>6210</v>
      </c>
      <c r="J542" t="s">
        <v>2795</v>
      </c>
      <c r="K542" t="s">
        <v>1938</v>
      </c>
      <c r="L542" t="s">
        <v>6199</v>
      </c>
      <c r="M542" t="s">
        <v>6215</v>
      </c>
      <c r="N542">
        <v>1</v>
      </c>
      <c r="O542">
        <v>15.85</v>
      </c>
      <c r="P542">
        <v>1.585</v>
      </c>
      <c r="Q542">
        <v>2.0605000000000002</v>
      </c>
      <c r="R542" s="5">
        <v>63.4</v>
      </c>
    </row>
    <row r="543" spans="1:18" x14ac:dyDescent="0.25">
      <c r="A543" t="s">
        <v>1068</v>
      </c>
      <c r="B543" s="7">
        <v>43750</v>
      </c>
      <c r="C543" t="str">
        <f>TEXT(Table3[[#This Row],[Order Date]],"yyyy")</f>
        <v>2019</v>
      </c>
      <c r="D543" t="s">
        <v>6235</v>
      </c>
      <c r="E543" t="s">
        <v>1069</v>
      </c>
      <c r="F543" t="s">
        <v>124</v>
      </c>
      <c r="G543">
        <v>1</v>
      </c>
      <c r="H543" t="s">
        <v>4327</v>
      </c>
      <c r="I543" t="s">
        <v>1945</v>
      </c>
      <c r="J543" t="s">
        <v>4330</v>
      </c>
      <c r="K543" t="s">
        <v>1938</v>
      </c>
      <c r="L543" t="s">
        <v>6213</v>
      </c>
      <c r="M543" t="s">
        <v>6195</v>
      </c>
      <c r="N543">
        <v>2.5</v>
      </c>
      <c r="O543">
        <v>22.884999999999998</v>
      </c>
      <c r="P543">
        <v>0.91539999999999988</v>
      </c>
      <c r="Q543">
        <v>2.0596499999999995</v>
      </c>
      <c r="R543" s="5">
        <v>22.884999999999998</v>
      </c>
    </row>
    <row r="544" spans="1:18" x14ac:dyDescent="0.25">
      <c r="A544" t="s">
        <v>1070</v>
      </c>
      <c r="B544" s="7">
        <v>44335</v>
      </c>
      <c r="C544" t="str">
        <f>TEXT(Table3[[#This Row],[Order Date]],"yyyy")</f>
        <v>2021</v>
      </c>
      <c r="D544" t="s">
        <v>6233</v>
      </c>
      <c r="E544" t="s">
        <v>1071</v>
      </c>
      <c r="F544" t="s">
        <v>177</v>
      </c>
      <c r="G544">
        <v>4</v>
      </c>
      <c r="H544" t="s">
        <v>4331</v>
      </c>
      <c r="I544" t="s">
        <v>6210</v>
      </c>
      <c r="J544" t="s">
        <v>3519</v>
      </c>
      <c r="K544" t="s">
        <v>1947</v>
      </c>
      <c r="L544" t="s">
        <v>6213</v>
      </c>
      <c r="M544" t="s">
        <v>6193</v>
      </c>
      <c r="N544">
        <v>2.5</v>
      </c>
      <c r="O544">
        <v>25.874999999999996</v>
      </c>
      <c r="P544">
        <v>1.0349999999999999</v>
      </c>
      <c r="Q544">
        <v>2.3287499999999994</v>
      </c>
      <c r="R544" s="5">
        <v>103.49999999999999</v>
      </c>
    </row>
    <row r="545" spans="1:18" x14ac:dyDescent="0.25">
      <c r="A545" t="s">
        <v>1072</v>
      </c>
      <c r="B545" s="7">
        <v>44380</v>
      </c>
      <c r="C545" t="str">
        <f>TEXT(Table3[[#This Row],[Order Date]],"yyyy")</f>
        <v>2021</v>
      </c>
      <c r="D545" t="s">
        <v>6230</v>
      </c>
      <c r="E545" t="s">
        <v>1073</v>
      </c>
      <c r="F545" t="s">
        <v>16</v>
      </c>
      <c r="G545">
        <v>2</v>
      </c>
      <c r="H545" t="s">
        <v>4335</v>
      </c>
      <c r="I545" t="s">
        <v>6210</v>
      </c>
      <c r="J545" t="s">
        <v>1991</v>
      </c>
      <c r="K545" t="s">
        <v>1947</v>
      </c>
      <c r="L545" t="s">
        <v>6211</v>
      </c>
      <c r="M545" t="s">
        <v>6215</v>
      </c>
      <c r="N545">
        <v>2.5</v>
      </c>
      <c r="O545">
        <v>27.484999999999996</v>
      </c>
      <c r="P545">
        <v>1.0993999999999999</v>
      </c>
      <c r="Q545">
        <v>1.6490999999999998</v>
      </c>
      <c r="R545" s="5">
        <v>54.969999999999992</v>
      </c>
    </row>
    <row r="546" spans="1:18" x14ac:dyDescent="0.25">
      <c r="A546" t="s">
        <v>1074</v>
      </c>
      <c r="B546" s="7">
        <v>43869</v>
      </c>
      <c r="C546" t="str">
        <f>TEXT(Table3[[#This Row],[Order Date]],"yyyy")</f>
        <v>2020</v>
      </c>
      <c r="D546" t="s">
        <v>6238</v>
      </c>
      <c r="E546" t="s">
        <v>1075</v>
      </c>
      <c r="F546" t="s">
        <v>198</v>
      </c>
      <c r="G546">
        <v>2</v>
      </c>
      <c r="H546" t="s">
        <v>4339</v>
      </c>
      <c r="I546" t="s">
        <v>6210</v>
      </c>
      <c r="J546" t="s">
        <v>2013</v>
      </c>
      <c r="K546" t="s">
        <v>1947</v>
      </c>
      <c r="L546" t="s">
        <v>6213</v>
      </c>
      <c r="M546" t="s">
        <v>6215</v>
      </c>
      <c r="N546">
        <v>0.5</v>
      </c>
      <c r="O546">
        <v>7.77</v>
      </c>
      <c r="P546">
        <v>1.5539999999999998</v>
      </c>
      <c r="Q546">
        <v>0.69929999999999992</v>
      </c>
      <c r="R546" s="5">
        <v>15.54</v>
      </c>
    </row>
    <row r="547" spans="1:18" x14ac:dyDescent="0.25">
      <c r="A547" t="s">
        <v>1076</v>
      </c>
      <c r="B547" s="7">
        <v>44120</v>
      </c>
      <c r="C547" t="str">
        <f>TEXT(Table3[[#This Row],[Order Date]],"yyyy")</f>
        <v>2020</v>
      </c>
      <c r="D547" t="s">
        <v>6235</v>
      </c>
      <c r="E547" t="s">
        <v>1077</v>
      </c>
      <c r="F547" t="s">
        <v>44</v>
      </c>
      <c r="G547">
        <v>4</v>
      </c>
      <c r="H547" t="s">
        <v>4343</v>
      </c>
      <c r="I547" t="s">
        <v>2112</v>
      </c>
      <c r="J547" t="s">
        <v>3129</v>
      </c>
      <c r="K547" t="s">
        <v>1947</v>
      </c>
      <c r="L547" t="s">
        <v>6199</v>
      </c>
      <c r="M547" t="s">
        <v>6195</v>
      </c>
      <c r="N547">
        <v>0.2</v>
      </c>
      <c r="O547">
        <v>3.8849999999999998</v>
      </c>
      <c r="P547">
        <v>1.9424999999999999</v>
      </c>
      <c r="Q547">
        <v>0.50505</v>
      </c>
      <c r="R547" s="5">
        <v>15.54</v>
      </c>
    </row>
    <row r="548" spans="1:18" x14ac:dyDescent="0.25">
      <c r="A548" t="s">
        <v>1078</v>
      </c>
      <c r="B548" s="7">
        <v>44127</v>
      </c>
      <c r="C548" t="str">
        <f>TEXT(Table3[[#This Row],[Order Date]],"yyyy")</f>
        <v>2020</v>
      </c>
      <c r="D548" t="s">
        <v>6235</v>
      </c>
      <c r="E548" t="s">
        <v>1079</v>
      </c>
      <c r="F548" t="s">
        <v>536</v>
      </c>
      <c r="G548">
        <v>3</v>
      </c>
      <c r="H548" t="s">
        <v>4347</v>
      </c>
      <c r="I548" t="s">
        <v>1945</v>
      </c>
      <c r="J548" t="s">
        <v>4350</v>
      </c>
      <c r="K548" t="s">
        <v>1947</v>
      </c>
      <c r="L548" t="s">
        <v>6212</v>
      </c>
      <c r="M548" t="s">
        <v>6195</v>
      </c>
      <c r="N548">
        <v>2.5</v>
      </c>
      <c r="O548">
        <v>27.945</v>
      </c>
      <c r="P548">
        <v>1.1177999999999999</v>
      </c>
      <c r="Q548">
        <v>3.07395</v>
      </c>
      <c r="R548" s="5">
        <v>83.835000000000008</v>
      </c>
    </row>
    <row r="549" spans="1:18" x14ac:dyDescent="0.25">
      <c r="A549" t="s">
        <v>1080</v>
      </c>
      <c r="B549" s="7">
        <v>44265</v>
      </c>
      <c r="C549" t="str">
        <f>TEXT(Table3[[#This Row],[Order Date]],"yyyy")</f>
        <v>2021</v>
      </c>
      <c r="D549" t="s">
        <v>6234</v>
      </c>
      <c r="E549" t="s">
        <v>1081</v>
      </c>
      <c r="F549" t="s">
        <v>188</v>
      </c>
      <c r="G549">
        <v>3</v>
      </c>
      <c r="H549" t="s">
        <v>4360</v>
      </c>
      <c r="I549" t="s">
        <v>6210</v>
      </c>
      <c r="J549" t="s">
        <v>2033</v>
      </c>
      <c r="K549" t="s">
        <v>1938</v>
      </c>
      <c r="L549" t="s">
        <v>6211</v>
      </c>
      <c r="M549" t="s">
        <v>6215</v>
      </c>
      <c r="N549">
        <v>0.2</v>
      </c>
      <c r="O549">
        <v>3.5849999999999995</v>
      </c>
      <c r="P549">
        <v>1.7924999999999998</v>
      </c>
      <c r="Q549">
        <v>0.21509999999999996</v>
      </c>
      <c r="R549" s="5">
        <v>10.754999999999999</v>
      </c>
    </row>
    <row r="550" spans="1:18" x14ac:dyDescent="0.25">
      <c r="A550" t="s">
        <v>1082</v>
      </c>
      <c r="B550" s="7">
        <v>44384</v>
      </c>
      <c r="C550" t="str">
        <f>TEXT(Table3[[#This Row],[Order Date]],"yyyy")</f>
        <v>2021</v>
      </c>
      <c r="D550" t="s">
        <v>6230</v>
      </c>
      <c r="E550" t="s">
        <v>1083</v>
      </c>
      <c r="F550" t="s">
        <v>260</v>
      </c>
      <c r="G550">
        <v>3</v>
      </c>
      <c r="H550" t="s">
        <v>4356</v>
      </c>
      <c r="I550" t="s">
        <v>6210</v>
      </c>
      <c r="J550" t="s">
        <v>2358</v>
      </c>
      <c r="K550" t="s">
        <v>1938</v>
      </c>
      <c r="L550" t="s">
        <v>6212</v>
      </c>
      <c r="M550" t="s">
        <v>6215</v>
      </c>
      <c r="N550">
        <v>0.2</v>
      </c>
      <c r="O550">
        <v>4.4550000000000001</v>
      </c>
      <c r="P550">
        <v>2.2275</v>
      </c>
      <c r="Q550">
        <v>0.49004999999999999</v>
      </c>
      <c r="R550" s="5">
        <v>13.365</v>
      </c>
    </row>
    <row r="551" spans="1:18" x14ac:dyDescent="0.25">
      <c r="A551" t="s">
        <v>1084</v>
      </c>
      <c r="B551" s="7">
        <v>44232</v>
      </c>
      <c r="C551" t="str">
        <f>TEXT(Table3[[#This Row],[Order Date]],"yyyy")</f>
        <v>2021</v>
      </c>
      <c r="D551" t="s">
        <v>6238</v>
      </c>
      <c r="E551" t="s">
        <v>1081</v>
      </c>
      <c r="F551" t="s">
        <v>260</v>
      </c>
      <c r="G551">
        <v>4</v>
      </c>
      <c r="H551" t="s">
        <v>4360</v>
      </c>
      <c r="I551" t="s">
        <v>6210</v>
      </c>
      <c r="J551" t="s">
        <v>2033</v>
      </c>
      <c r="K551" t="s">
        <v>1938</v>
      </c>
      <c r="L551" t="s">
        <v>6212</v>
      </c>
      <c r="M551" t="s">
        <v>6215</v>
      </c>
      <c r="N551">
        <v>0.2</v>
      </c>
      <c r="O551">
        <v>4.4550000000000001</v>
      </c>
      <c r="P551">
        <v>2.2275</v>
      </c>
      <c r="Q551">
        <v>0.49004999999999999</v>
      </c>
      <c r="R551" s="5">
        <v>17.82</v>
      </c>
    </row>
    <row r="552" spans="1:18" x14ac:dyDescent="0.25">
      <c r="A552" t="s">
        <v>1085</v>
      </c>
      <c r="B552" s="7">
        <v>44176</v>
      </c>
      <c r="C552" t="str">
        <f>TEXT(Table3[[#This Row],[Order Date]],"yyyy")</f>
        <v>2020</v>
      </c>
      <c r="D552" t="s">
        <v>6237</v>
      </c>
      <c r="E552" t="s">
        <v>1086</v>
      </c>
      <c r="F552" t="s">
        <v>44</v>
      </c>
      <c r="G552">
        <v>6</v>
      </c>
      <c r="H552" t="s">
        <v>4364</v>
      </c>
      <c r="I552" t="s">
        <v>6210</v>
      </c>
      <c r="J552" t="s">
        <v>2252</v>
      </c>
      <c r="K552" t="s">
        <v>1938</v>
      </c>
      <c r="L552" t="s">
        <v>6199</v>
      </c>
      <c r="M552" t="s">
        <v>6195</v>
      </c>
      <c r="N552">
        <v>0.2</v>
      </c>
      <c r="O552">
        <v>3.8849999999999998</v>
      </c>
      <c r="P552">
        <v>1.9424999999999999</v>
      </c>
      <c r="Q552">
        <v>0.50505</v>
      </c>
      <c r="R552" s="5">
        <v>23.31</v>
      </c>
    </row>
    <row r="553" spans="1:18" x14ac:dyDescent="0.25">
      <c r="A553" t="s">
        <v>1087</v>
      </c>
      <c r="B553" s="7">
        <v>44694</v>
      </c>
      <c r="C553" t="str">
        <f>TEXT(Table3[[#This Row],[Order Date]],"yyyy")</f>
        <v>2022</v>
      </c>
      <c r="D553" t="s">
        <v>6233</v>
      </c>
      <c r="E553" t="s">
        <v>1088</v>
      </c>
      <c r="F553" t="s">
        <v>57</v>
      </c>
      <c r="G553">
        <v>2</v>
      </c>
      <c r="H553" t="s">
        <v>4368</v>
      </c>
      <c r="I553" t="s">
        <v>6210</v>
      </c>
      <c r="J553" t="s">
        <v>3672</v>
      </c>
      <c r="K553" t="s">
        <v>1947</v>
      </c>
      <c r="L553" t="s">
        <v>6212</v>
      </c>
      <c r="M553" t="s">
        <v>6195</v>
      </c>
      <c r="N553">
        <v>0.2</v>
      </c>
      <c r="O553">
        <v>3.645</v>
      </c>
      <c r="P553">
        <v>1.8225</v>
      </c>
      <c r="Q553">
        <v>0.40095000000000003</v>
      </c>
      <c r="R553" s="5">
        <v>7.29</v>
      </c>
    </row>
    <row r="554" spans="1:18" x14ac:dyDescent="0.25">
      <c r="A554" t="s">
        <v>1089</v>
      </c>
      <c r="B554" s="7">
        <v>43761</v>
      </c>
      <c r="C554" t="str">
        <f>TEXT(Table3[[#This Row],[Order Date]],"yyyy")</f>
        <v>2019</v>
      </c>
      <c r="D554" t="s">
        <v>6235</v>
      </c>
      <c r="E554" t="s">
        <v>1090</v>
      </c>
      <c r="F554" t="s">
        <v>260</v>
      </c>
      <c r="G554">
        <v>4</v>
      </c>
      <c r="H554" t="s">
        <v>4372</v>
      </c>
      <c r="I554" t="s">
        <v>2112</v>
      </c>
      <c r="J554" t="s">
        <v>3360</v>
      </c>
      <c r="K554" t="s">
        <v>1938</v>
      </c>
      <c r="L554" t="s">
        <v>6212</v>
      </c>
      <c r="M554" t="s">
        <v>6215</v>
      </c>
      <c r="N554">
        <v>0.2</v>
      </c>
      <c r="O554">
        <v>4.4550000000000001</v>
      </c>
      <c r="P554">
        <v>2.2275</v>
      </c>
      <c r="Q554">
        <v>0.49004999999999999</v>
      </c>
      <c r="R554" s="5">
        <v>17.82</v>
      </c>
    </row>
    <row r="555" spans="1:18" x14ac:dyDescent="0.25">
      <c r="A555" t="s">
        <v>1091</v>
      </c>
      <c r="B555" s="7">
        <v>44085</v>
      </c>
      <c r="C555" t="str">
        <f>TEXT(Table3[[#This Row],[Order Date]],"yyyy")</f>
        <v>2020</v>
      </c>
      <c r="D555" t="s">
        <v>6228</v>
      </c>
      <c r="E555" t="s">
        <v>1092</v>
      </c>
      <c r="F555" t="s">
        <v>15</v>
      </c>
      <c r="G555">
        <v>5</v>
      </c>
      <c r="H555" t="s">
        <v>4376</v>
      </c>
      <c r="I555" t="s">
        <v>6210</v>
      </c>
      <c r="J555" t="s">
        <v>2207</v>
      </c>
      <c r="K555" t="s">
        <v>1947</v>
      </c>
      <c r="L555" t="s">
        <v>6212</v>
      </c>
      <c r="M555" t="s">
        <v>6193</v>
      </c>
      <c r="N555">
        <v>1</v>
      </c>
      <c r="O555">
        <v>13.75</v>
      </c>
      <c r="P555">
        <v>1.375</v>
      </c>
      <c r="Q555">
        <v>1.5125</v>
      </c>
      <c r="R555" s="5">
        <v>68.75</v>
      </c>
    </row>
    <row r="556" spans="1:18" x14ac:dyDescent="0.25">
      <c r="A556" t="s">
        <v>1093</v>
      </c>
      <c r="B556" s="7">
        <v>43737</v>
      </c>
      <c r="C556" t="str">
        <f>TEXT(Table3[[#This Row],[Order Date]],"yyyy")</f>
        <v>2019</v>
      </c>
      <c r="D556" t="s">
        <v>6228</v>
      </c>
      <c r="E556" t="s">
        <v>1094</v>
      </c>
      <c r="F556" t="s">
        <v>16</v>
      </c>
      <c r="G556">
        <v>2</v>
      </c>
      <c r="H556" t="s">
        <v>4379</v>
      </c>
      <c r="I556" t="s">
        <v>2112</v>
      </c>
      <c r="J556" t="s">
        <v>3159</v>
      </c>
      <c r="K556" t="s">
        <v>1938</v>
      </c>
      <c r="L556" t="s">
        <v>6211</v>
      </c>
      <c r="M556" t="s">
        <v>6215</v>
      </c>
      <c r="N556">
        <v>2.5</v>
      </c>
      <c r="O556">
        <v>27.484999999999996</v>
      </c>
      <c r="P556">
        <v>1.0993999999999999</v>
      </c>
      <c r="Q556">
        <v>1.6490999999999998</v>
      </c>
      <c r="R556" s="5">
        <v>54.969999999999992</v>
      </c>
    </row>
    <row r="557" spans="1:18" x14ac:dyDescent="0.25">
      <c r="A557" t="s">
        <v>1095</v>
      </c>
      <c r="B557" s="7">
        <v>44258</v>
      </c>
      <c r="C557" t="str">
        <f>TEXT(Table3[[#This Row],[Order Date]],"yyyy")</f>
        <v>2021</v>
      </c>
      <c r="D557" t="s">
        <v>6234</v>
      </c>
      <c r="E557" t="s">
        <v>1096</v>
      </c>
      <c r="F557" t="s">
        <v>15</v>
      </c>
      <c r="G557">
        <v>6</v>
      </c>
      <c r="H557" t="s">
        <v>4383</v>
      </c>
      <c r="I557" t="s">
        <v>1945</v>
      </c>
      <c r="J557" t="s">
        <v>4387</v>
      </c>
      <c r="K557" t="s">
        <v>1947</v>
      </c>
      <c r="L557" t="s">
        <v>6212</v>
      </c>
      <c r="M557" t="s">
        <v>6193</v>
      </c>
      <c r="N557">
        <v>1</v>
      </c>
      <c r="O557">
        <v>13.75</v>
      </c>
      <c r="P557">
        <v>1.375</v>
      </c>
      <c r="Q557">
        <v>1.5125</v>
      </c>
      <c r="R557" s="5">
        <v>82.5</v>
      </c>
    </row>
    <row r="558" spans="1:18" x14ac:dyDescent="0.25">
      <c r="A558" t="s">
        <v>1097</v>
      </c>
      <c r="B558" s="7">
        <v>44523</v>
      </c>
      <c r="C558" t="str">
        <f>TEXT(Table3[[#This Row],[Order Date]],"yyyy")</f>
        <v>2021</v>
      </c>
      <c r="D558" t="s">
        <v>6239</v>
      </c>
      <c r="E558" t="s">
        <v>1098</v>
      </c>
      <c r="F558" t="s">
        <v>83</v>
      </c>
      <c r="G558">
        <v>2</v>
      </c>
      <c r="H558" t="s">
        <v>4389</v>
      </c>
      <c r="I558" t="s">
        <v>6210</v>
      </c>
      <c r="J558" t="s">
        <v>3519</v>
      </c>
      <c r="K558" t="s">
        <v>1938</v>
      </c>
      <c r="L558" t="s">
        <v>6199</v>
      </c>
      <c r="M558" t="s">
        <v>6193</v>
      </c>
      <c r="N558">
        <v>0.2</v>
      </c>
      <c r="O558">
        <v>4.3650000000000002</v>
      </c>
      <c r="P558">
        <v>2.1825000000000001</v>
      </c>
      <c r="Q558">
        <v>0.56745000000000001</v>
      </c>
      <c r="R558" s="5">
        <v>8.73</v>
      </c>
    </row>
    <row r="559" spans="1:18" x14ac:dyDescent="0.25">
      <c r="A559" t="s">
        <v>1099</v>
      </c>
      <c r="B559" s="7">
        <v>44506</v>
      </c>
      <c r="C559" t="str">
        <f>TEXT(Table3[[#This Row],[Order Date]],"yyyy")</f>
        <v>2021</v>
      </c>
      <c r="D559" t="s">
        <v>6239</v>
      </c>
      <c r="E559" t="s">
        <v>994</v>
      </c>
      <c r="F559" t="s">
        <v>143</v>
      </c>
      <c r="G559">
        <v>4</v>
      </c>
      <c r="H559" t="s">
        <v>4195</v>
      </c>
      <c r="I559" t="s">
        <v>1945</v>
      </c>
      <c r="J559" t="s">
        <v>4199</v>
      </c>
      <c r="K559" t="s">
        <v>1938</v>
      </c>
      <c r="L559" t="s">
        <v>6212</v>
      </c>
      <c r="M559" t="s">
        <v>6215</v>
      </c>
      <c r="N559">
        <v>1</v>
      </c>
      <c r="O559">
        <v>14.85</v>
      </c>
      <c r="P559">
        <v>1.4849999999999999</v>
      </c>
      <c r="Q559">
        <v>1.6335</v>
      </c>
      <c r="R559" s="5">
        <v>59.4</v>
      </c>
    </row>
    <row r="560" spans="1:18" x14ac:dyDescent="0.25">
      <c r="A560" t="s">
        <v>1100</v>
      </c>
      <c r="B560" s="7">
        <v>44225</v>
      </c>
      <c r="C560" t="str">
        <f>TEXT(Table3[[#This Row],[Order Date]],"yyyy")</f>
        <v>2021</v>
      </c>
      <c r="D560" t="s">
        <v>6232</v>
      </c>
      <c r="E560" t="s">
        <v>1101</v>
      </c>
      <c r="F560" t="s">
        <v>44</v>
      </c>
      <c r="G560">
        <v>4</v>
      </c>
      <c r="H560" t="s">
        <v>4397</v>
      </c>
      <c r="I560" t="s">
        <v>6210</v>
      </c>
      <c r="J560" t="s">
        <v>3315</v>
      </c>
      <c r="K560" t="s">
        <v>1938</v>
      </c>
      <c r="L560" t="s">
        <v>6199</v>
      </c>
      <c r="M560" t="s">
        <v>6195</v>
      </c>
      <c r="N560">
        <v>0.2</v>
      </c>
      <c r="O560">
        <v>3.8849999999999998</v>
      </c>
      <c r="P560">
        <v>1.9424999999999999</v>
      </c>
      <c r="Q560">
        <v>0.50505</v>
      </c>
      <c r="R560" s="5">
        <v>15.54</v>
      </c>
    </row>
    <row r="561" spans="1:18" x14ac:dyDescent="0.25">
      <c r="A561" t="s">
        <v>1102</v>
      </c>
      <c r="B561" s="7">
        <v>44667</v>
      </c>
      <c r="C561" t="str">
        <f>TEXT(Table3[[#This Row],[Order Date]],"yyyy")</f>
        <v>2022</v>
      </c>
      <c r="D561" t="s">
        <v>6236</v>
      </c>
      <c r="E561" t="s">
        <v>1103</v>
      </c>
      <c r="F561" t="s">
        <v>12</v>
      </c>
      <c r="G561">
        <v>3</v>
      </c>
      <c r="H561" t="s">
        <v>4400</v>
      </c>
      <c r="I561" t="s">
        <v>6210</v>
      </c>
      <c r="J561" t="s">
        <v>3116</v>
      </c>
      <c r="K561" t="s">
        <v>1938</v>
      </c>
      <c r="L561" t="s">
        <v>6213</v>
      </c>
      <c r="M561" t="s">
        <v>6215</v>
      </c>
      <c r="N561">
        <v>1</v>
      </c>
      <c r="O561">
        <v>12.95</v>
      </c>
      <c r="P561">
        <v>1.2949999999999999</v>
      </c>
      <c r="Q561">
        <v>1.1655</v>
      </c>
      <c r="R561" s="5">
        <v>38.849999999999994</v>
      </c>
    </row>
    <row r="562" spans="1:18" x14ac:dyDescent="0.25">
      <c r="A562" t="s">
        <v>1104</v>
      </c>
      <c r="B562" s="7">
        <v>44401</v>
      </c>
      <c r="C562" t="str">
        <f>TEXT(Table3[[#This Row],[Order Date]],"yyyy")</f>
        <v>2021</v>
      </c>
      <c r="D562" t="s">
        <v>6230</v>
      </c>
      <c r="E562" t="s">
        <v>1105</v>
      </c>
      <c r="F562" t="s">
        <v>118</v>
      </c>
      <c r="G562">
        <v>6</v>
      </c>
      <c r="H562" t="s">
        <v>4404</v>
      </c>
      <c r="I562" t="s">
        <v>6210</v>
      </c>
      <c r="J562" t="s">
        <v>4407</v>
      </c>
      <c r="K562" t="s">
        <v>1938</v>
      </c>
      <c r="L562" t="s">
        <v>6212</v>
      </c>
      <c r="M562" t="s">
        <v>6193</v>
      </c>
      <c r="N562">
        <v>2.5</v>
      </c>
      <c r="O562">
        <v>31.624999999999996</v>
      </c>
      <c r="P562">
        <v>1.2649999999999999</v>
      </c>
      <c r="Q562">
        <v>3.4787499999999998</v>
      </c>
      <c r="R562" s="5">
        <v>189.74999999999997</v>
      </c>
    </row>
    <row r="563" spans="1:18" x14ac:dyDescent="0.25">
      <c r="A563" t="s">
        <v>1106</v>
      </c>
      <c r="B563" s="7">
        <v>43688</v>
      </c>
      <c r="C563" t="str">
        <f>TEXT(Table3[[#This Row],[Order Date]],"yyyy")</f>
        <v>2019</v>
      </c>
      <c r="D563" t="s">
        <v>6231</v>
      </c>
      <c r="E563" t="s">
        <v>1107</v>
      </c>
      <c r="F563" t="s">
        <v>60</v>
      </c>
      <c r="G563">
        <v>6</v>
      </c>
      <c r="H563" t="s">
        <v>4408</v>
      </c>
      <c r="I563" t="s">
        <v>1945</v>
      </c>
      <c r="J563" t="s">
        <v>4411</v>
      </c>
      <c r="K563" t="s">
        <v>1938</v>
      </c>
      <c r="L563" t="s">
        <v>6213</v>
      </c>
      <c r="M563" t="s">
        <v>6195</v>
      </c>
      <c r="N563">
        <v>0.2</v>
      </c>
      <c r="O563">
        <v>2.9849999999999999</v>
      </c>
      <c r="P563">
        <v>1.4924999999999999</v>
      </c>
      <c r="Q563">
        <v>0.26865</v>
      </c>
      <c r="R563" s="5">
        <v>17.91</v>
      </c>
    </row>
    <row r="564" spans="1:18" x14ac:dyDescent="0.25">
      <c r="A564" t="s">
        <v>1108</v>
      </c>
      <c r="B564" s="7">
        <v>43669</v>
      </c>
      <c r="C564" t="str">
        <f>TEXT(Table3[[#This Row],[Order Date]],"yyyy")</f>
        <v>2019</v>
      </c>
      <c r="D564" t="s">
        <v>6230</v>
      </c>
      <c r="E564" t="s">
        <v>1109</v>
      </c>
      <c r="F564" t="s">
        <v>25</v>
      </c>
      <c r="G564">
        <v>6</v>
      </c>
      <c r="H564" t="s">
        <v>4413</v>
      </c>
      <c r="I564" t="s">
        <v>2112</v>
      </c>
      <c r="J564" t="s">
        <v>4417</v>
      </c>
      <c r="K564" t="s">
        <v>1947</v>
      </c>
      <c r="L564" t="s">
        <v>6199</v>
      </c>
      <c r="M564" t="s">
        <v>6215</v>
      </c>
      <c r="N564">
        <v>0.2</v>
      </c>
      <c r="O564">
        <v>4.7549999999999999</v>
      </c>
      <c r="P564">
        <v>2.3774999999999999</v>
      </c>
      <c r="Q564">
        <v>0.61814999999999998</v>
      </c>
      <c r="R564" s="5">
        <v>28.53</v>
      </c>
    </row>
    <row r="565" spans="1:18" x14ac:dyDescent="0.25">
      <c r="A565" t="s">
        <v>1110</v>
      </c>
      <c r="B565" s="7">
        <v>43991</v>
      </c>
      <c r="C565" t="str">
        <f>TEXT(Table3[[#This Row],[Order Date]],"yyyy")</f>
        <v>2020</v>
      </c>
      <c r="D565" t="s">
        <v>6229</v>
      </c>
      <c r="E565" t="s">
        <v>1111</v>
      </c>
      <c r="F565" t="s">
        <v>15</v>
      </c>
      <c r="G565">
        <v>6</v>
      </c>
      <c r="H565" t="s">
        <v>4477</v>
      </c>
      <c r="I565" t="s">
        <v>2112</v>
      </c>
      <c r="J565" t="s">
        <v>4480</v>
      </c>
      <c r="K565" t="s">
        <v>1947</v>
      </c>
      <c r="L565" t="s">
        <v>6212</v>
      </c>
      <c r="M565" t="s">
        <v>6193</v>
      </c>
      <c r="N565">
        <v>1</v>
      </c>
      <c r="O565">
        <v>13.75</v>
      </c>
      <c r="P565">
        <v>1.375</v>
      </c>
      <c r="Q565">
        <v>1.5125</v>
      </c>
      <c r="R565" s="5">
        <v>82.5</v>
      </c>
    </row>
    <row r="566" spans="1:18" x14ac:dyDescent="0.25">
      <c r="A566" t="s">
        <v>1112</v>
      </c>
      <c r="B566" s="7">
        <v>43883</v>
      </c>
      <c r="C566" t="str">
        <f>TEXT(Table3[[#This Row],[Order Date]],"yyyy")</f>
        <v>2020</v>
      </c>
      <c r="D566" t="s">
        <v>6238</v>
      </c>
      <c r="E566" t="s">
        <v>1113</v>
      </c>
      <c r="F566" t="s">
        <v>163</v>
      </c>
      <c r="G566">
        <v>2</v>
      </c>
      <c r="H566" t="s">
        <v>4424</v>
      </c>
      <c r="I566" t="s">
        <v>6210</v>
      </c>
      <c r="J566" t="s">
        <v>3407</v>
      </c>
      <c r="K566" t="s">
        <v>1947</v>
      </c>
      <c r="L566" t="s">
        <v>6211</v>
      </c>
      <c r="M566" t="s">
        <v>6215</v>
      </c>
      <c r="N566">
        <v>0.5</v>
      </c>
      <c r="O566">
        <v>7.169999999999999</v>
      </c>
      <c r="P566">
        <v>1.4339999999999997</v>
      </c>
      <c r="Q566">
        <v>0.43019999999999992</v>
      </c>
      <c r="R566" s="5">
        <v>14.339999999999998</v>
      </c>
    </row>
    <row r="567" spans="1:18" x14ac:dyDescent="0.25">
      <c r="A567" t="s">
        <v>1114</v>
      </c>
      <c r="B567" s="7">
        <v>44031</v>
      </c>
      <c r="C567" t="str">
        <f>TEXT(Table3[[#This Row],[Order Date]],"yyyy")</f>
        <v>2020</v>
      </c>
      <c r="D567" t="s">
        <v>6230</v>
      </c>
      <c r="E567" t="s">
        <v>1115</v>
      </c>
      <c r="F567" t="s">
        <v>41</v>
      </c>
      <c r="G567">
        <v>4</v>
      </c>
      <c r="H567" t="s">
        <v>4428</v>
      </c>
      <c r="I567" t="s">
        <v>6210</v>
      </c>
      <c r="J567" t="s">
        <v>2983</v>
      </c>
      <c r="K567" t="s">
        <v>1947</v>
      </c>
      <c r="L567" t="s">
        <v>6211</v>
      </c>
      <c r="M567" t="s">
        <v>6195</v>
      </c>
      <c r="N567">
        <v>2.5</v>
      </c>
      <c r="O567">
        <v>20.584999999999997</v>
      </c>
      <c r="P567">
        <v>0.82339999999999991</v>
      </c>
      <c r="Q567">
        <v>1.2350999999999999</v>
      </c>
      <c r="R567" s="5">
        <v>82.339999999999989</v>
      </c>
    </row>
    <row r="568" spans="1:18" x14ac:dyDescent="0.25">
      <c r="A568" t="s">
        <v>1116</v>
      </c>
      <c r="B568" s="7">
        <v>44459</v>
      </c>
      <c r="C568" t="str">
        <f>TEXT(Table3[[#This Row],[Order Date]],"yyyy")</f>
        <v>2021</v>
      </c>
      <c r="D568" t="s">
        <v>6228</v>
      </c>
      <c r="E568" t="s">
        <v>1117</v>
      </c>
      <c r="F568" t="s">
        <v>50</v>
      </c>
      <c r="G568">
        <v>6</v>
      </c>
      <c r="H568" t="s">
        <v>4432</v>
      </c>
      <c r="I568" t="s">
        <v>6210</v>
      </c>
      <c r="J568" t="s">
        <v>2187</v>
      </c>
      <c r="K568" t="s">
        <v>1938</v>
      </c>
      <c r="L568" t="s">
        <v>6213</v>
      </c>
      <c r="M568" t="s">
        <v>6193</v>
      </c>
      <c r="N568">
        <v>0.2</v>
      </c>
      <c r="O568">
        <v>3.375</v>
      </c>
      <c r="P568">
        <v>1.6875</v>
      </c>
      <c r="Q568">
        <v>0.30374999999999996</v>
      </c>
      <c r="R568" s="5">
        <v>20.25</v>
      </c>
    </row>
    <row r="569" spans="1:18" x14ac:dyDescent="0.25">
      <c r="A569" t="s">
        <v>1118</v>
      </c>
      <c r="B569" s="7">
        <v>44318</v>
      </c>
      <c r="C569" t="str">
        <f>TEXT(Table3[[#This Row],[Order Date]],"yyyy")</f>
        <v>2021</v>
      </c>
      <c r="D569" t="s">
        <v>6233</v>
      </c>
      <c r="E569" t="s">
        <v>1119</v>
      </c>
      <c r="F569" t="s">
        <v>16</v>
      </c>
      <c r="G569">
        <v>6</v>
      </c>
      <c r="H569" t="s">
        <v>4436</v>
      </c>
      <c r="I569" t="s">
        <v>1945</v>
      </c>
      <c r="J569" t="s">
        <v>2072</v>
      </c>
      <c r="K569" t="s">
        <v>1947</v>
      </c>
      <c r="L569" t="s">
        <v>6211</v>
      </c>
      <c r="M569" t="s">
        <v>6215</v>
      </c>
      <c r="N569">
        <v>2.5</v>
      </c>
      <c r="O569">
        <v>27.484999999999996</v>
      </c>
      <c r="P569">
        <v>1.0993999999999999</v>
      </c>
      <c r="Q569">
        <v>1.6490999999999998</v>
      </c>
      <c r="R569" s="5">
        <v>164.90999999999997</v>
      </c>
    </row>
    <row r="570" spans="1:18" x14ac:dyDescent="0.25">
      <c r="A570" t="s">
        <v>1120</v>
      </c>
      <c r="B570" s="7">
        <v>44526</v>
      </c>
      <c r="C570" t="str">
        <f>TEXT(Table3[[#This Row],[Order Date]],"yyyy")</f>
        <v>2021</v>
      </c>
      <c r="D570" t="s">
        <v>6239</v>
      </c>
      <c r="E570" t="s">
        <v>1121</v>
      </c>
      <c r="F570" t="s">
        <v>25</v>
      </c>
      <c r="G570">
        <v>4</v>
      </c>
      <c r="H570" t="s">
        <v>4439</v>
      </c>
      <c r="I570" t="s">
        <v>6210</v>
      </c>
      <c r="J570" t="s">
        <v>2383</v>
      </c>
      <c r="K570" t="s">
        <v>1938</v>
      </c>
      <c r="L570" t="s">
        <v>6199</v>
      </c>
      <c r="M570" t="s">
        <v>6215</v>
      </c>
      <c r="N570">
        <v>0.2</v>
      </c>
      <c r="O570">
        <v>4.7549999999999999</v>
      </c>
      <c r="P570">
        <v>2.3774999999999999</v>
      </c>
      <c r="Q570">
        <v>0.61814999999999998</v>
      </c>
      <c r="R570" s="5">
        <v>19.02</v>
      </c>
    </row>
    <row r="571" spans="1:18" x14ac:dyDescent="0.25">
      <c r="A571" t="s">
        <v>1122</v>
      </c>
      <c r="B571" s="7">
        <v>43879</v>
      </c>
      <c r="C571" t="str">
        <f>TEXT(Table3[[#This Row],[Order Date]],"yyyy")</f>
        <v>2020</v>
      </c>
      <c r="D571" t="s">
        <v>6238</v>
      </c>
      <c r="E571" t="s">
        <v>1111</v>
      </c>
      <c r="F571" t="s">
        <v>124</v>
      </c>
      <c r="G571">
        <v>6</v>
      </c>
      <c r="H571" t="s">
        <v>4477</v>
      </c>
      <c r="I571" t="s">
        <v>2112</v>
      </c>
      <c r="J571" t="s">
        <v>4480</v>
      </c>
      <c r="K571" t="s">
        <v>1947</v>
      </c>
      <c r="L571" t="s">
        <v>6213</v>
      </c>
      <c r="M571" t="s">
        <v>6195</v>
      </c>
      <c r="N571">
        <v>2.5</v>
      </c>
      <c r="O571">
        <v>22.884999999999998</v>
      </c>
      <c r="P571">
        <v>0.91539999999999988</v>
      </c>
      <c r="Q571">
        <v>2.0596499999999995</v>
      </c>
      <c r="R571" s="5">
        <v>137.31</v>
      </c>
    </row>
    <row r="572" spans="1:18" x14ac:dyDescent="0.25">
      <c r="A572" t="s">
        <v>1123</v>
      </c>
      <c r="B572" s="7">
        <v>43928</v>
      </c>
      <c r="C572" t="str">
        <f>TEXT(Table3[[#This Row],[Order Date]],"yyyy")</f>
        <v>2020</v>
      </c>
      <c r="D572" t="s">
        <v>6236</v>
      </c>
      <c r="E572" t="s">
        <v>1124</v>
      </c>
      <c r="F572" t="s">
        <v>73</v>
      </c>
      <c r="G572">
        <v>4</v>
      </c>
      <c r="H572" t="s">
        <v>4448</v>
      </c>
      <c r="I572" t="s">
        <v>6210</v>
      </c>
      <c r="J572" t="s">
        <v>4452</v>
      </c>
      <c r="K572" t="s">
        <v>1947</v>
      </c>
      <c r="L572" t="s">
        <v>6213</v>
      </c>
      <c r="M572" t="s">
        <v>6193</v>
      </c>
      <c r="N572">
        <v>0.5</v>
      </c>
      <c r="O572">
        <v>6.75</v>
      </c>
      <c r="P572">
        <v>1.35</v>
      </c>
      <c r="Q572">
        <v>0.60749999999999993</v>
      </c>
      <c r="R572" s="5">
        <v>27</v>
      </c>
    </row>
    <row r="573" spans="1:18" x14ac:dyDescent="0.25">
      <c r="A573" t="s">
        <v>1125</v>
      </c>
      <c r="B573" s="7">
        <v>44592</v>
      </c>
      <c r="C573" t="str">
        <f>TEXT(Table3[[#This Row],[Order Date]],"yyyy")</f>
        <v>2022</v>
      </c>
      <c r="D573" t="s">
        <v>6232</v>
      </c>
      <c r="E573" t="s">
        <v>1126</v>
      </c>
      <c r="F573" t="s">
        <v>182</v>
      </c>
      <c r="G573">
        <v>4</v>
      </c>
      <c r="H573" t="s">
        <v>4453</v>
      </c>
      <c r="I573" t="s">
        <v>2112</v>
      </c>
      <c r="J573" t="s">
        <v>4457</v>
      </c>
      <c r="K573" t="s">
        <v>1947</v>
      </c>
      <c r="L573" t="s">
        <v>6212</v>
      </c>
      <c r="M573" t="s">
        <v>6215</v>
      </c>
      <c r="N573">
        <v>0.5</v>
      </c>
      <c r="O573">
        <v>8.91</v>
      </c>
      <c r="P573">
        <v>1.782</v>
      </c>
      <c r="Q573">
        <v>0.98009999999999997</v>
      </c>
      <c r="R573" s="5">
        <v>35.64</v>
      </c>
    </row>
    <row r="574" spans="1:18" x14ac:dyDescent="0.25">
      <c r="A574" t="s">
        <v>1127</v>
      </c>
      <c r="B574" s="7">
        <v>43515</v>
      </c>
      <c r="C574" t="str">
        <f>TEXT(Table3[[#This Row],[Order Date]],"yyyy")</f>
        <v>2019</v>
      </c>
      <c r="D574" t="s">
        <v>6238</v>
      </c>
      <c r="E574" t="s">
        <v>1128</v>
      </c>
      <c r="F574" t="s">
        <v>60</v>
      </c>
      <c r="G574">
        <v>2</v>
      </c>
      <c r="H574" t="s">
        <v>4459</v>
      </c>
      <c r="I574" t="s">
        <v>6210</v>
      </c>
      <c r="J574" t="s">
        <v>2942</v>
      </c>
      <c r="K574" t="s">
        <v>1938</v>
      </c>
      <c r="L574" t="s">
        <v>6213</v>
      </c>
      <c r="M574" t="s">
        <v>6195</v>
      </c>
      <c r="N574">
        <v>0.2</v>
      </c>
      <c r="O574">
        <v>2.9849999999999999</v>
      </c>
      <c r="P574">
        <v>1.4924999999999999</v>
      </c>
      <c r="Q574">
        <v>0.26865</v>
      </c>
      <c r="R574" s="5">
        <v>5.97</v>
      </c>
    </row>
    <row r="575" spans="1:18" x14ac:dyDescent="0.25">
      <c r="A575" t="s">
        <v>1129</v>
      </c>
      <c r="B575" s="7">
        <v>43781</v>
      </c>
      <c r="C575" t="str">
        <f>TEXT(Table3[[#This Row],[Order Date]],"yyyy")</f>
        <v>2019</v>
      </c>
      <c r="D575" t="s">
        <v>6239</v>
      </c>
      <c r="E575" t="s">
        <v>1130</v>
      </c>
      <c r="F575" t="s">
        <v>67</v>
      </c>
      <c r="G575">
        <v>6</v>
      </c>
      <c r="H575" t="s">
        <v>4461</v>
      </c>
      <c r="I575" t="s">
        <v>6210</v>
      </c>
      <c r="J575" t="s">
        <v>3519</v>
      </c>
      <c r="K575" t="s">
        <v>1947</v>
      </c>
      <c r="L575" t="s">
        <v>6213</v>
      </c>
      <c r="M575" t="s">
        <v>6193</v>
      </c>
      <c r="N575">
        <v>1</v>
      </c>
      <c r="O575">
        <v>11.25</v>
      </c>
      <c r="P575">
        <v>1.125</v>
      </c>
      <c r="Q575">
        <v>1.0125</v>
      </c>
      <c r="R575" s="5">
        <v>67.5</v>
      </c>
    </row>
    <row r="576" spans="1:18" x14ac:dyDescent="0.25">
      <c r="A576" t="s">
        <v>1131</v>
      </c>
      <c r="B576" s="7">
        <v>44697</v>
      </c>
      <c r="C576" t="str">
        <f>TEXT(Table3[[#This Row],[Order Date]],"yyyy")</f>
        <v>2022</v>
      </c>
      <c r="D576" t="s">
        <v>6233</v>
      </c>
      <c r="E576" t="s">
        <v>1132</v>
      </c>
      <c r="F576" t="s">
        <v>188</v>
      </c>
      <c r="G576">
        <v>6</v>
      </c>
      <c r="H576" t="s">
        <v>4465</v>
      </c>
      <c r="I576" t="s">
        <v>6210</v>
      </c>
      <c r="J576" t="s">
        <v>2221</v>
      </c>
      <c r="K576" t="s">
        <v>1938</v>
      </c>
      <c r="L576" t="s">
        <v>6211</v>
      </c>
      <c r="M576" t="s">
        <v>6215</v>
      </c>
      <c r="N576">
        <v>0.2</v>
      </c>
      <c r="O576">
        <v>3.5849999999999995</v>
      </c>
      <c r="P576">
        <v>1.7924999999999998</v>
      </c>
      <c r="Q576">
        <v>0.21509999999999996</v>
      </c>
      <c r="R576" s="5">
        <v>21.509999999999998</v>
      </c>
    </row>
    <row r="577" spans="1:18" x14ac:dyDescent="0.25">
      <c r="A577" t="s">
        <v>1133</v>
      </c>
      <c r="B577" s="7">
        <v>44239</v>
      </c>
      <c r="C577" t="str">
        <f>TEXT(Table3[[#This Row],[Order Date]],"yyyy")</f>
        <v>2021</v>
      </c>
      <c r="D577" t="s">
        <v>6238</v>
      </c>
      <c r="E577" t="s">
        <v>1134</v>
      </c>
      <c r="F577" t="s">
        <v>203</v>
      </c>
      <c r="G577">
        <v>2</v>
      </c>
      <c r="H577" t="s">
        <v>4468</v>
      </c>
      <c r="I577" t="s">
        <v>6210</v>
      </c>
      <c r="J577" t="s">
        <v>1982</v>
      </c>
      <c r="K577" t="s">
        <v>1947</v>
      </c>
      <c r="L577" t="s">
        <v>6199</v>
      </c>
      <c r="M577" t="s">
        <v>6193</v>
      </c>
      <c r="N577">
        <v>2.5</v>
      </c>
      <c r="O577">
        <v>33.464999999999996</v>
      </c>
      <c r="P577">
        <v>1.3385999999999998</v>
      </c>
      <c r="Q577">
        <v>4.3504499999999995</v>
      </c>
      <c r="R577" s="5">
        <v>66.929999999999993</v>
      </c>
    </row>
    <row r="578" spans="1:18" x14ac:dyDescent="0.25">
      <c r="A578" t="s">
        <v>1135</v>
      </c>
      <c r="B578" s="7">
        <v>44290</v>
      </c>
      <c r="C578" t="str">
        <f>TEXT(Table3[[#This Row],[Order Date]],"yyyy")</f>
        <v>2021</v>
      </c>
      <c r="D578" t="s">
        <v>6236</v>
      </c>
      <c r="E578" t="s">
        <v>1136</v>
      </c>
      <c r="F578" t="s">
        <v>60</v>
      </c>
      <c r="G578">
        <v>6</v>
      </c>
      <c r="H578" t="s">
        <v>4472</v>
      </c>
      <c r="I578" t="s">
        <v>6210</v>
      </c>
      <c r="J578" t="s">
        <v>4476</v>
      </c>
      <c r="K578" t="s">
        <v>1947</v>
      </c>
      <c r="L578" t="s">
        <v>6213</v>
      </c>
      <c r="M578" t="s">
        <v>6195</v>
      </c>
      <c r="N578">
        <v>0.2</v>
      </c>
      <c r="O578">
        <v>2.9849999999999999</v>
      </c>
      <c r="P578">
        <v>1.4924999999999999</v>
      </c>
      <c r="Q578">
        <v>0.26865</v>
      </c>
      <c r="R578" s="5">
        <v>17.91</v>
      </c>
    </row>
    <row r="579" spans="1:18" x14ac:dyDescent="0.25">
      <c r="A579" t="s">
        <v>1137</v>
      </c>
      <c r="B579" s="7">
        <v>44410</v>
      </c>
      <c r="C579" t="str">
        <f>TEXT(Table3[[#This Row],[Order Date]],"yyyy")</f>
        <v>2021</v>
      </c>
      <c r="D579" t="s">
        <v>6231</v>
      </c>
      <c r="E579" t="s">
        <v>1111</v>
      </c>
      <c r="F579" t="s">
        <v>102</v>
      </c>
      <c r="G579">
        <v>4</v>
      </c>
      <c r="H579" t="s">
        <v>4477</v>
      </c>
      <c r="I579" t="s">
        <v>2112</v>
      </c>
      <c r="J579" t="s">
        <v>4480</v>
      </c>
      <c r="K579" t="s">
        <v>1947</v>
      </c>
      <c r="L579" t="s">
        <v>6199</v>
      </c>
      <c r="M579" t="s">
        <v>6193</v>
      </c>
      <c r="N579">
        <v>1</v>
      </c>
      <c r="O579">
        <v>14.55</v>
      </c>
      <c r="P579">
        <v>1.4550000000000001</v>
      </c>
      <c r="Q579">
        <v>1.8915000000000002</v>
      </c>
      <c r="R579" s="5">
        <v>58.2</v>
      </c>
    </row>
    <row r="580" spans="1:18" x14ac:dyDescent="0.25">
      <c r="A580" t="s">
        <v>1138</v>
      </c>
      <c r="B580" s="7">
        <v>44720</v>
      </c>
      <c r="C580" t="str">
        <f>TEXT(Table3[[#This Row],[Order Date]],"yyyy")</f>
        <v>2022</v>
      </c>
      <c r="D580" t="s">
        <v>6229</v>
      </c>
      <c r="E580" t="s">
        <v>1139</v>
      </c>
      <c r="F580" t="s">
        <v>260</v>
      </c>
      <c r="G580">
        <v>3</v>
      </c>
      <c r="H580" t="s">
        <v>4482</v>
      </c>
      <c r="I580" t="s">
        <v>1945</v>
      </c>
      <c r="J580" t="s">
        <v>4486</v>
      </c>
      <c r="K580" t="s">
        <v>1947</v>
      </c>
      <c r="L580" t="s">
        <v>6212</v>
      </c>
      <c r="M580" t="s">
        <v>6215</v>
      </c>
      <c r="N580">
        <v>0.2</v>
      </c>
      <c r="O580">
        <v>4.4550000000000001</v>
      </c>
      <c r="P580">
        <v>2.2275</v>
      </c>
      <c r="Q580">
        <v>0.49004999999999999</v>
      </c>
      <c r="R580" s="5">
        <v>13.365</v>
      </c>
    </row>
    <row r="581" spans="1:18" x14ac:dyDescent="0.25">
      <c r="A581" t="s">
        <v>1138</v>
      </c>
      <c r="B581" s="7">
        <v>44720</v>
      </c>
      <c r="C581" t="str">
        <f>TEXT(Table3[[#This Row],[Order Date]],"yyyy")</f>
        <v>2022</v>
      </c>
      <c r="D581" t="s">
        <v>6229</v>
      </c>
      <c r="E581" t="s">
        <v>1139</v>
      </c>
      <c r="F581" t="s">
        <v>73</v>
      </c>
      <c r="G581">
        <v>5</v>
      </c>
      <c r="H581" t="s">
        <v>4482</v>
      </c>
      <c r="I581" t="s">
        <v>1945</v>
      </c>
      <c r="J581" t="s">
        <v>4486</v>
      </c>
      <c r="K581" t="s">
        <v>1947</v>
      </c>
      <c r="L581" t="s">
        <v>6213</v>
      </c>
      <c r="M581" t="s">
        <v>6193</v>
      </c>
      <c r="N581">
        <v>0.5</v>
      </c>
      <c r="O581">
        <v>6.75</v>
      </c>
      <c r="P581">
        <v>1.35</v>
      </c>
      <c r="Q581">
        <v>0.60749999999999993</v>
      </c>
      <c r="R581" s="5">
        <v>33.75</v>
      </c>
    </row>
    <row r="582" spans="1:18" x14ac:dyDescent="0.25">
      <c r="A582" t="s">
        <v>1140</v>
      </c>
      <c r="B582" s="7">
        <v>43965</v>
      </c>
      <c r="C582" t="str">
        <f>TEXT(Table3[[#This Row],[Order Date]],"yyyy")</f>
        <v>2020</v>
      </c>
      <c r="D582" t="s">
        <v>6233</v>
      </c>
      <c r="E582" t="s">
        <v>1141</v>
      </c>
      <c r="F582" t="s">
        <v>143</v>
      </c>
      <c r="G582">
        <v>3</v>
      </c>
      <c r="H582" t="s">
        <v>4493</v>
      </c>
      <c r="I582" t="s">
        <v>6210</v>
      </c>
      <c r="J582" t="s">
        <v>2753</v>
      </c>
      <c r="K582" t="s">
        <v>1938</v>
      </c>
      <c r="L582" t="s">
        <v>6212</v>
      </c>
      <c r="M582" t="s">
        <v>6215</v>
      </c>
      <c r="N582">
        <v>1</v>
      </c>
      <c r="O582">
        <v>14.85</v>
      </c>
      <c r="P582">
        <v>1.4849999999999999</v>
      </c>
      <c r="Q582">
        <v>1.6335</v>
      </c>
      <c r="R582" s="5">
        <v>44.55</v>
      </c>
    </row>
    <row r="583" spans="1:18" x14ac:dyDescent="0.25">
      <c r="A583" t="s">
        <v>1142</v>
      </c>
      <c r="B583" s="7">
        <v>44190</v>
      </c>
      <c r="C583" t="str">
        <f>TEXT(Table3[[#This Row],[Order Date]],"yyyy")</f>
        <v>2020</v>
      </c>
      <c r="D583" t="s">
        <v>6237</v>
      </c>
      <c r="E583" t="s">
        <v>1143</v>
      </c>
      <c r="F583" t="s">
        <v>182</v>
      </c>
      <c r="G583">
        <v>5</v>
      </c>
      <c r="H583" t="s">
        <v>4497</v>
      </c>
      <c r="I583" t="s">
        <v>2112</v>
      </c>
      <c r="J583" t="s">
        <v>2168</v>
      </c>
      <c r="K583" t="s">
        <v>1938</v>
      </c>
      <c r="L583" t="s">
        <v>6212</v>
      </c>
      <c r="M583" t="s">
        <v>6215</v>
      </c>
      <c r="N583">
        <v>0.5</v>
      </c>
      <c r="O583">
        <v>8.91</v>
      </c>
      <c r="P583">
        <v>1.782</v>
      </c>
      <c r="Q583">
        <v>0.98009999999999997</v>
      </c>
      <c r="R583" s="5">
        <v>44.55</v>
      </c>
    </row>
    <row r="584" spans="1:18" x14ac:dyDescent="0.25">
      <c r="A584" t="s">
        <v>1144</v>
      </c>
      <c r="B584" s="7">
        <v>44382</v>
      </c>
      <c r="C584" t="str">
        <f>TEXT(Table3[[#This Row],[Order Date]],"yyyy")</f>
        <v>2021</v>
      </c>
      <c r="D584" t="s">
        <v>6230</v>
      </c>
      <c r="E584" t="s">
        <v>1145</v>
      </c>
      <c r="F584" t="s">
        <v>251</v>
      </c>
      <c r="G584">
        <v>5</v>
      </c>
      <c r="H584" t="s">
        <v>4500</v>
      </c>
      <c r="I584" t="s">
        <v>6210</v>
      </c>
      <c r="J584" t="s">
        <v>2000</v>
      </c>
      <c r="K584" t="s">
        <v>1947</v>
      </c>
      <c r="L584" t="s">
        <v>6212</v>
      </c>
      <c r="M584" t="s">
        <v>6195</v>
      </c>
      <c r="N584">
        <v>1</v>
      </c>
      <c r="O584">
        <v>12.15</v>
      </c>
      <c r="P584">
        <v>1.2150000000000001</v>
      </c>
      <c r="Q584">
        <v>1.3365</v>
      </c>
      <c r="R584" s="5">
        <v>60.75</v>
      </c>
    </row>
    <row r="585" spans="1:18" x14ac:dyDescent="0.25">
      <c r="A585" t="s">
        <v>1146</v>
      </c>
      <c r="B585" s="7">
        <v>43538</v>
      </c>
      <c r="C585" t="str">
        <f>TEXT(Table3[[#This Row],[Order Date]],"yyyy")</f>
        <v>2019</v>
      </c>
      <c r="D585" t="s">
        <v>6234</v>
      </c>
      <c r="E585" t="s">
        <v>1147</v>
      </c>
      <c r="F585" t="s">
        <v>188</v>
      </c>
      <c r="G585">
        <v>1</v>
      </c>
      <c r="H585" t="s">
        <v>4504</v>
      </c>
      <c r="I585" t="s">
        <v>6210</v>
      </c>
      <c r="J585" t="s">
        <v>4069</v>
      </c>
      <c r="K585" t="s">
        <v>1938</v>
      </c>
      <c r="L585" t="s">
        <v>6211</v>
      </c>
      <c r="M585" t="s">
        <v>6215</v>
      </c>
      <c r="N585">
        <v>0.2</v>
      </c>
      <c r="O585">
        <v>3.5849999999999995</v>
      </c>
      <c r="P585">
        <v>1.7924999999999998</v>
      </c>
      <c r="Q585">
        <v>0.21509999999999996</v>
      </c>
      <c r="R585" s="5">
        <v>3.5849999999999995</v>
      </c>
    </row>
    <row r="586" spans="1:18" x14ac:dyDescent="0.25">
      <c r="A586" t="s">
        <v>1148</v>
      </c>
      <c r="B586" s="7">
        <v>44262</v>
      </c>
      <c r="C586" t="str">
        <f>TEXT(Table3[[#This Row],[Order Date]],"yyyy")</f>
        <v>2021</v>
      </c>
      <c r="D586" t="s">
        <v>6234</v>
      </c>
      <c r="E586" t="s">
        <v>1149</v>
      </c>
      <c r="F586" t="s">
        <v>188</v>
      </c>
      <c r="G586">
        <v>6</v>
      </c>
      <c r="H586" t="s">
        <v>4508</v>
      </c>
      <c r="I586" t="s">
        <v>6210</v>
      </c>
      <c r="J586" t="s">
        <v>2621</v>
      </c>
      <c r="K586" t="s">
        <v>1947</v>
      </c>
      <c r="L586" t="s">
        <v>6211</v>
      </c>
      <c r="M586" t="s">
        <v>6215</v>
      </c>
      <c r="N586">
        <v>0.2</v>
      </c>
      <c r="O586">
        <v>3.5849999999999995</v>
      </c>
      <c r="P586">
        <v>1.7924999999999998</v>
      </c>
      <c r="Q586">
        <v>0.21509999999999996</v>
      </c>
      <c r="R586" s="5">
        <v>21.509999999999998</v>
      </c>
    </row>
    <row r="587" spans="1:18" x14ac:dyDescent="0.25">
      <c r="A587" t="s">
        <v>1150</v>
      </c>
      <c r="B587" s="7">
        <v>44505</v>
      </c>
      <c r="C587" t="str">
        <f>TEXT(Table3[[#This Row],[Order Date]],"yyyy")</f>
        <v>2021</v>
      </c>
      <c r="D587" t="s">
        <v>6239</v>
      </c>
      <c r="E587" t="s">
        <v>1151</v>
      </c>
      <c r="F587" t="s">
        <v>9</v>
      </c>
      <c r="G587">
        <v>2</v>
      </c>
      <c r="H587" t="s">
        <v>4542</v>
      </c>
      <c r="I587" t="s">
        <v>2112</v>
      </c>
      <c r="J587" t="s">
        <v>2111</v>
      </c>
      <c r="K587" t="s">
        <v>1938</v>
      </c>
      <c r="L587" t="s">
        <v>6212</v>
      </c>
      <c r="M587" t="s">
        <v>6193</v>
      </c>
      <c r="N587">
        <v>0.5</v>
      </c>
      <c r="O587">
        <v>8.25</v>
      </c>
      <c r="P587">
        <v>1.65</v>
      </c>
      <c r="Q587">
        <v>0.90749999999999997</v>
      </c>
      <c r="R587" s="5">
        <v>16.5</v>
      </c>
    </row>
    <row r="588" spans="1:18" x14ac:dyDescent="0.25">
      <c r="A588" t="s">
        <v>1152</v>
      </c>
      <c r="B588" s="7">
        <v>43867</v>
      </c>
      <c r="C588" t="str">
        <f>TEXT(Table3[[#This Row],[Order Date]],"yyyy")</f>
        <v>2020</v>
      </c>
      <c r="D588" t="s">
        <v>6238</v>
      </c>
      <c r="E588" t="s">
        <v>1153</v>
      </c>
      <c r="F588" t="s">
        <v>16</v>
      </c>
      <c r="G588">
        <v>3</v>
      </c>
      <c r="H588" t="s">
        <v>4517</v>
      </c>
      <c r="I588" t="s">
        <v>6210</v>
      </c>
      <c r="J588" t="s">
        <v>2229</v>
      </c>
      <c r="K588" t="s">
        <v>1947</v>
      </c>
      <c r="L588" t="s">
        <v>6211</v>
      </c>
      <c r="M588" t="s">
        <v>6215</v>
      </c>
      <c r="N588">
        <v>2.5</v>
      </c>
      <c r="O588">
        <v>27.484999999999996</v>
      </c>
      <c r="P588">
        <v>1.0993999999999999</v>
      </c>
      <c r="Q588">
        <v>1.6490999999999998</v>
      </c>
      <c r="R588" s="5">
        <v>82.454999999999984</v>
      </c>
    </row>
    <row r="589" spans="1:18" x14ac:dyDescent="0.25">
      <c r="A589" t="s">
        <v>1154</v>
      </c>
      <c r="B589" s="7">
        <v>44267</v>
      </c>
      <c r="C589" t="str">
        <f>TEXT(Table3[[#This Row],[Order Date]],"yyyy")</f>
        <v>2021</v>
      </c>
      <c r="D589" t="s">
        <v>6234</v>
      </c>
      <c r="E589" t="s">
        <v>1155</v>
      </c>
      <c r="F589" t="s">
        <v>129</v>
      </c>
      <c r="G589">
        <v>1</v>
      </c>
      <c r="H589" t="s">
        <v>4520</v>
      </c>
      <c r="I589" t="s">
        <v>6210</v>
      </c>
      <c r="J589" t="s">
        <v>2563</v>
      </c>
      <c r="K589" t="s">
        <v>1938</v>
      </c>
      <c r="L589" t="s">
        <v>6199</v>
      </c>
      <c r="M589" t="s">
        <v>6195</v>
      </c>
      <c r="N589">
        <v>0.5</v>
      </c>
      <c r="O589">
        <v>7.77</v>
      </c>
      <c r="P589">
        <v>1.5539999999999998</v>
      </c>
      <c r="Q589">
        <v>1.0101</v>
      </c>
      <c r="R589" s="5">
        <v>7.77</v>
      </c>
    </row>
    <row r="590" spans="1:18" x14ac:dyDescent="0.25">
      <c r="A590" t="s">
        <v>1156</v>
      </c>
      <c r="B590" s="7">
        <v>44046</v>
      </c>
      <c r="C590" t="str">
        <f>TEXT(Table3[[#This Row],[Order Date]],"yyyy")</f>
        <v>2020</v>
      </c>
      <c r="D590" t="s">
        <v>6231</v>
      </c>
      <c r="E590" t="s">
        <v>1157</v>
      </c>
      <c r="F590" t="s">
        <v>28</v>
      </c>
      <c r="G590">
        <v>2</v>
      </c>
      <c r="H590" t="s">
        <v>4523</v>
      </c>
      <c r="I590" t="s">
        <v>6210</v>
      </c>
      <c r="J590" t="s">
        <v>2444</v>
      </c>
      <c r="K590" t="s">
        <v>1938</v>
      </c>
      <c r="L590" t="s">
        <v>6211</v>
      </c>
      <c r="M590" t="s">
        <v>6193</v>
      </c>
      <c r="N590">
        <v>0.5</v>
      </c>
      <c r="O590">
        <v>5.97</v>
      </c>
      <c r="P590">
        <v>1.194</v>
      </c>
      <c r="Q590">
        <v>0.35819999999999996</v>
      </c>
      <c r="R590" s="5">
        <v>11.94</v>
      </c>
    </row>
    <row r="591" spans="1:18" x14ac:dyDescent="0.25">
      <c r="A591" t="s">
        <v>1158</v>
      </c>
      <c r="B591" s="7">
        <v>43671</v>
      </c>
      <c r="C591" t="str">
        <f>TEXT(Table3[[#This Row],[Order Date]],"yyyy")</f>
        <v>2019</v>
      </c>
      <c r="D591" t="s">
        <v>6230</v>
      </c>
      <c r="E591" t="s">
        <v>1159</v>
      </c>
      <c r="F591" t="s">
        <v>36</v>
      </c>
      <c r="G591">
        <v>6</v>
      </c>
      <c r="H591" t="s">
        <v>4527</v>
      </c>
      <c r="I591" t="s">
        <v>6210</v>
      </c>
      <c r="J591" t="s">
        <v>4530</v>
      </c>
      <c r="K591" t="s">
        <v>1947</v>
      </c>
      <c r="L591" t="s">
        <v>6212</v>
      </c>
      <c r="M591" t="s">
        <v>6215</v>
      </c>
      <c r="N591">
        <v>2.5</v>
      </c>
      <c r="O591">
        <v>34.154999999999994</v>
      </c>
      <c r="P591">
        <v>1.3661999999999999</v>
      </c>
      <c r="Q591">
        <v>3.7570499999999996</v>
      </c>
      <c r="R591" s="5">
        <v>204.92999999999995</v>
      </c>
    </row>
    <row r="592" spans="1:18" x14ac:dyDescent="0.25">
      <c r="A592" t="s">
        <v>1160</v>
      </c>
      <c r="B592" s="7">
        <v>43950</v>
      </c>
      <c r="C592" t="str">
        <f>TEXT(Table3[[#This Row],[Order Date]],"yyyy")</f>
        <v>2020</v>
      </c>
      <c r="D592" t="s">
        <v>6236</v>
      </c>
      <c r="E592" t="s">
        <v>1161</v>
      </c>
      <c r="F592" t="s">
        <v>118</v>
      </c>
      <c r="G592">
        <v>2</v>
      </c>
      <c r="H592" t="s">
        <v>4531</v>
      </c>
      <c r="I592" t="s">
        <v>6210</v>
      </c>
      <c r="J592" t="s">
        <v>2612</v>
      </c>
      <c r="K592" t="s">
        <v>1938</v>
      </c>
      <c r="L592" t="s">
        <v>6212</v>
      </c>
      <c r="M592" t="s">
        <v>6193</v>
      </c>
      <c r="N592">
        <v>2.5</v>
      </c>
      <c r="O592">
        <v>31.624999999999996</v>
      </c>
      <c r="P592">
        <v>1.2649999999999999</v>
      </c>
      <c r="Q592">
        <v>3.4787499999999998</v>
      </c>
      <c r="R592" s="5">
        <v>63.249999999999993</v>
      </c>
    </row>
    <row r="593" spans="1:18" x14ac:dyDescent="0.25">
      <c r="A593" t="s">
        <v>1162</v>
      </c>
      <c r="B593" s="7">
        <v>43587</v>
      </c>
      <c r="C593" t="str">
        <f>TEXT(Table3[[#This Row],[Order Date]],"yyyy")</f>
        <v>2019</v>
      </c>
      <c r="D593" t="s">
        <v>6233</v>
      </c>
      <c r="E593" t="s">
        <v>1163</v>
      </c>
      <c r="F593" t="s">
        <v>107</v>
      </c>
      <c r="G593">
        <v>3</v>
      </c>
      <c r="H593" t="s">
        <v>4535</v>
      </c>
      <c r="I593" t="s">
        <v>6210</v>
      </c>
      <c r="J593" t="s">
        <v>4538</v>
      </c>
      <c r="K593" t="s">
        <v>1938</v>
      </c>
      <c r="L593" t="s">
        <v>6211</v>
      </c>
      <c r="M593" t="s">
        <v>6195</v>
      </c>
      <c r="N593">
        <v>0.2</v>
      </c>
      <c r="O593">
        <v>2.6849999999999996</v>
      </c>
      <c r="P593">
        <v>1.3424999999999998</v>
      </c>
      <c r="Q593">
        <v>0.16109999999999997</v>
      </c>
      <c r="R593" s="5">
        <v>8.0549999999999997</v>
      </c>
    </row>
    <row r="594" spans="1:18" x14ac:dyDescent="0.25">
      <c r="A594" t="s">
        <v>1164</v>
      </c>
      <c r="B594" s="7">
        <v>44437</v>
      </c>
      <c r="C594" t="str">
        <f>TEXT(Table3[[#This Row],[Order Date]],"yyyy")</f>
        <v>2021</v>
      </c>
      <c r="D594" t="s">
        <v>6231</v>
      </c>
      <c r="E594" t="s">
        <v>1165</v>
      </c>
      <c r="F594" t="s">
        <v>177</v>
      </c>
      <c r="G594">
        <v>2</v>
      </c>
      <c r="H594" t="s">
        <v>4539</v>
      </c>
      <c r="I594" t="s">
        <v>6210</v>
      </c>
      <c r="J594" t="s">
        <v>3116</v>
      </c>
      <c r="K594" t="s">
        <v>1947</v>
      </c>
      <c r="L594" t="s">
        <v>6213</v>
      </c>
      <c r="M594" t="s">
        <v>6193</v>
      </c>
      <c r="N594">
        <v>2.5</v>
      </c>
      <c r="O594">
        <v>25.874999999999996</v>
      </c>
      <c r="P594">
        <v>1.0349999999999999</v>
      </c>
      <c r="Q594">
        <v>2.3287499999999994</v>
      </c>
      <c r="R594" s="5">
        <v>51.749999999999993</v>
      </c>
    </row>
    <row r="595" spans="1:18" x14ac:dyDescent="0.25">
      <c r="A595" t="s">
        <v>1166</v>
      </c>
      <c r="B595" s="7">
        <v>43903</v>
      </c>
      <c r="C595" t="str">
        <f>TEXT(Table3[[#This Row],[Order Date]],"yyyy")</f>
        <v>2020</v>
      </c>
      <c r="D595" t="s">
        <v>6234</v>
      </c>
      <c r="E595" t="s">
        <v>1151</v>
      </c>
      <c r="F595" t="s">
        <v>536</v>
      </c>
      <c r="G595">
        <v>1</v>
      </c>
      <c r="H595" t="s">
        <v>4542</v>
      </c>
      <c r="I595" t="s">
        <v>2112</v>
      </c>
      <c r="J595" t="s">
        <v>2111</v>
      </c>
      <c r="K595" t="s">
        <v>1938</v>
      </c>
      <c r="L595" t="s">
        <v>6212</v>
      </c>
      <c r="M595" t="s">
        <v>6195</v>
      </c>
      <c r="N595">
        <v>2.5</v>
      </c>
      <c r="O595">
        <v>27.945</v>
      </c>
      <c r="P595">
        <v>1.1177999999999999</v>
      </c>
      <c r="Q595">
        <v>3.07395</v>
      </c>
      <c r="R595" s="5">
        <v>27.945</v>
      </c>
    </row>
    <row r="596" spans="1:18" x14ac:dyDescent="0.25">
      <c r="A596" t="s">
        <v>1167</v>
      </c>
      <c r="B596" s="7">
        <v>43512</v>
      </c>
      <c r="C596" t="str">
        <f>TEXT(Table3[[#This Row],[Order Date]],"yyyy")</f>
        <v>2019</v>
      </c>
      <c r="D596" t="s">
        <v>6238</v>
      </c>
      <c r="E596" t="s">
        <v>1168</v>
      </c>
      <c r="F596" t="s">
        <v>210</v>
      </c>
      <c r="G596">
        <v>2</v>
      </c>
      <c r="H596" t="s">
        <v>4545</v>
      </c>
      <c r="I596" t="s">
        <v>6210</v>
      </c>
      <c r="J596" t="s">
        <v>2674</v>
      </c>
      <c r="K596" t="s">
        <v>1947</v>
      </c>
      <c r="L596" t="s">
        <v>6213</v>
      </c>
      <c r="M596" t="s">
        <v>6215</v>
      </c>
      <c r="N596">
        <v>2.5</v>
      </c>
      <c r="O596">
        <v>29.784999999999997</v>
      </c>
      <c r="P596">
        <v>1.1913999999999998</v>
      </c>
      <c r="Q596">
        <v>2.6806499999999995</v>
      </c>
      <c r="R596" s="5">
        <v>59.569999999999993</v>
      </c>
    </row>
    <row r="597" spans="1:18" x14ac:dyDescent="0.25">
      <c r="A597" t="s">
        <v>1169</v>
      </c>
      <c r="B597" s="7">
        <v>44527</v>
      </c>
      <c r="C597" t="str">
        <f>TEXT(Table3[[#This Row],[Order Date]],"yyyy")</f>
        <v>2021</v>
      </c>
      <c r="D597" t="s">
        <v>6239</v>
      </c>
      <c r="E597" t="s">
        <v>1170</v>
      </c>
      <c r="F597" t="s">
        <v>143</v>
      </c>
      <c r="G597">
        <v>1</v>
      </c>
      <c r="H597" t="s">
        <v>4549</v>
      </c>
      <c r="I597" t="s">
        <v>2112</v>
      </c>
      <c r="J597" t="s">
        <v>4551</v>
      </c>
      <c r="K597" t="s">
        <v>1947</v>
      </c>
      <c r="L597" t="s">
        <v>6212</v>
      </c>
      <c r="M597" t="s">
        <v>6215</v>
      </c>
      <c r="N597">
        <v>1</v>
      </c>
      <c r="O597">
        <v>14.85</v>
      </c>
      <c r="P597">
        <v>1.4849999999999999</v>
      </c>
      <c r="Q597">
        <v>1.6335</v>
      </c>
      <c r="R597" s="5">
        <v>14.85</v>
      </c>
    </row>
    <row r="598" spans="1:18" x14ac:dyDescent="0.25">
      <c r="A598" t="s">
        <v>1171</v>
      </c>
      <c r="B598" s="7">
        <v>44523</v>
      </c>
      <c r="C598" t="str">
        <f>TEXT(Table3[[#This Row],[Order Date]],"yyyy")</f>
        <v>2021</v>
      </c>
      <c r="D598" t="s">
        <v>6239</v>
      </c>
      <c r="E598" t="s">
        <v>1172</v>
      </c>
      <c r="F598" t="s">
        <v>73</v>
      </c>
      <c r="G598">
        <v>5</v>
      </c>
      <c r="H598" t="s">
        <v>4553</v>
      </c>
      <c r="I598" t="s">
        <v>6210</v>
      </c>
      <c r="J598" t="s">
        <v>2283</v>
      </c>
      <c r="K598" t="s">
        <v>1947</v>
      </c>
      <c r="L598" t="s">
        <v>6213</v>
      </c>
      <c r="M598" t="s">
        <v>6193</v>
      </c>
      <c r="N598">
        <v>0.5</v>
      </c>
      <c r="O598">
        <v>6.75</v>
      </c>
      <c r="P598">
        <v>1.35</v>
      </c>
      <c r="Q598">
        <v>0.60749999999999993</v>
      </c>
      <c r="R598" s="5">
        <v>33.75</v>
      </c>
    </row>
    <row r="599" spans="1:18" x14ac:dyDescent="0.25">
      <c r="A599" t="s">
        <v>1173</v>
      </c>
      <c r="B599" s="7">
        <v>44532</v>
      </c>
      <c r="C599" t="str">
        <f>TEXT(Table3[[#This Row],[Order Date]],"yyyy")</f>
        <v>2021</v>
      </c>
      <c r="D599" t="s">
        <v>6237</v>
      </c>
      <c r="E599" t="s">
        <v>1174</v>
      </c>
      <c r="F599" t="s">
        <v>110</v>
      </c>
      <c r="G599">
        <v>4</v>
      </c>
      <c r="H599" t="s">
        <v>4557</v>
      </c>
      <c r="I599" t="s">
        <v>6210</v>
      </c>
      <c r="J599" t="s">
        <v>2942</v>
      </c>
      <c r="K599" t="s">
        <v>1938</v>
      </c>
      <c r="L599" t="s">
        <v>6199</v>
      </c>
      <c r="M599" t="s">
        <v>6215</v>
      </c>
      <c r="N599">
        <v>2.5</v>
      </c>
      <c r="O599">
        <v>36.454999999999998</v>
      </c>
      <c r="P599">
        <v>1.4581999999999999</v>
      </c>
      <c r="Q599">
        <v>4.7391499999999995</v>
      </c>
      <c r="R599" s="5">
        <v>145.82</v>
      </c>
    </row>
    <row r="600" spans="1:18" x14ac:dyDescent="0.25">
      <c r="A600" t="s">
        <v>1175</v>
      </c>
      <c r="B600" s="7">
        <v>43471</v>
      </c>
      <c r="C600" t="str">
        <f>TEXT(Table3[[#This Row],[Order Date]],"yyyy")</f>
        <v>2019</v>
      </c>
      <c r="D600" t="s">
        <v>6232</v>
      </c>
      <c r="E600" t="s">
        <v>1176</v>
      </c>
      <c r="F600" t="s">
        <v>168</v>
      </c>
      <c r="G600">
        <v>4</v>
      </c>
      <c r="H600" t="s">
        <v>4561</v>
      </c>
      <c r="I600" t="s">
        <v>6210</v>
      </c>
      <c r="J600" t="s">
        <v>3085</v>
      </c>
      <c r="K600" t="s">
        <v>1938</v>
      </c>
      <c r="L600" t="s">
        <v>6211</v>
      </c>
      <c r="M600" t="s">
        <v>6193</v>
      </c>
      <c r="N600">
        <v>0.2</v>
      </c>
      <c r="O600">
        <v>2.9849999999999999</v>
      </c>
      <c r="P600">
        <v>1.4924999999999999</v>
      </c>
      <c r="Q600">
        <v>0.17909999999999998</v>
      </c>
      <c r="R600" s="5">
        <v>11.94</v>
      </c>
    </row>
    <row r="601" spans="1:18" x14ac:dyDescent="0.25">
      <c r="A601" t="s">
        <v>1177</v>
      </c>
      <c r="B601" s="7">
        <v>44321</v>
      </c>
      <c r="C601" t="str">
        <f>TEXT(Table3[[#This Row],[Order Date]],"yyyy")</f>
        <v>2021</v>
      </c>
      <c r="D601" t="s">
        <v>6233</v>
      </c>
      <c r="E601" t="s">
        <v>1178</v>
      </c>
      <c r="F601" t="s">
        <v>60</v>
      </c>
      <c r="G601">
        <v>4</v>
      </c>
      <c r="H601" t="s">
        <v>4565</v>
      </c>
      <c r="I601" t="s">
        <v>6210</v>
      </c>
      <c r="J601" t="s">
        <v>3519</v>
      </c>
      <c r="K601" t="s">
        <v>1938</v>
      </c>
      <c r="L601" t="s">
        <v>6213</v>
      </c>
      <c r="M601" t="s">
        <v>6195</v>
      </c>
      <c r="N601">
        <v>0.2</v>
      </c>
      <c r="O601">
        <v>2.9849999999999999</v>
      </c>
      <c r="P601">
        <v>1.4924999999999999</v>
      </c>
      <c r="Q601">
        <v>0.26865</v>
      </c>
      <c r="R601" s="5">
        <v>11.94</v>
      </c>
    </row>
    <row r="602" spans="1:18" x14ac:dyDescent="0.25">
      <c r="A602" t="s">
        <v>1179</v>
      </c>
      <c r="B602" s="7">
        <v>44492</v>
      </c>
      <c r="C602" t="str">
        <f>TEXT(Table3[[#This Row],[Order Date]],"yyyy")</f>
        <v>2021</v>
      </c>
      <c r="D602" t="s">
        <v>6235</v>
      </c>
      <c r="E602" t="s">
        <v>1180</v>
      </c>
      <c r="F602" t="s">
        <v>129</v>
      </c>
      <c r="G602">
        <v>1</v>
      </c>
      <c r="H602" t="s">
        <v>4568</v>
      </c>
      <c r="I602" t="s">
        <v>6210</v>
      </c>
      <c r="J602" t="s">
        <v>2013</v>
      </c>
      <c r="K602" t="s">
        <v>1947</v>
      </c>
      <c r="L602" t="s">
        <v>6199</v>
      </c>
      <c r="M602" t="s">
        <v>6195</v>
      </c>
      <c r="N602">
        <v>0.5</v>
      </c>
      <c r="O602">
        <v>7.77</v>
      </c>
      <c r="P602">
        <v>1.5539999999999998</v>
      </c>
      <c r="Q602">
        <v>1.0101</v>
      </c>
      <c r="R602" s="5">
        <v>7.77</v>
      </c>
    </row>
    <row r="603" spans="1:18" x14ac:dyDescent="0.25">
      <c r="A603" t="s">
        <v>1181</v>
      </c>
      <c r="B603" s="7">
        <v>43815</v>
      </c>
      <c r="C603" t="str">
        <f>TEXT(Table3[[#This Row],[Order Date]],"yyyy")</f>
        <v>2019</v>
      </c>
      <c r="D603" t="s">
        <v>6237</v>
      </c>
      <c r="E603" t="s">
        <v>1182</v>
      </c>
      <c r="F603" t="s">
        <v>16</v>
      </c>
      <c r="G603">
        <v>4</v>
      </c>
      <c r="H603" t="s">
        <v>4572</v>
      </c>
      <c r="I603" t="s">
        <v>6210</v>
      </c>
      <c r="J603" t="s">
        <v>2004</v>
      </c>
      <c r="K603" t="s">
        <v>1938</v>
      </c>
      <c r="L603" t="s">
        <v>6211</v>
      </c>
      <c r="M603" t="s">
        <v>6215</v>
      </c>
      <c r="N603">
        <v>2.5</v>
      </c>
      <c r="O603">
        <v>27.484999999999996</v>
      </c>
      <c r="P603">
        <v>1.0993999999999999</v>
      </c>
      <c r="Q603">
        <v>1.6490999999999998</v>
      </c>
      <c r="R603" s="5">
        <v>109.93999999999998</v>
      </c>
    </row>
    <row r="604" spans="1:18" x14ac:dyDescent="0.25">
      <c r="A604" t="s">
        <v>1183</v>
      </c>
      <c r="B604" s="7">
        <v>43603</v>
      </c>
      <c r="C604" t="str">
        <f>TEXT(Table3[[#This Row],[Order Date]],"yyyy")</f>
        <v>2019</v>
      </c>
      <c r="D604" t="s">
        <v>6233</v>
      </c>
      <c r="E604" t="s">
        <v>1184</v>
      </c>
      <c r="F604" t="s">
        <v>260</v>
      </c>
      <c r="G604">
        <v>5</v>
      </c>
      <c r="H604" t="s">
        <v>4576</v>
      </c>
      <c r="I604" t="s">
        <v>6210</v>
      </c>
      <c r="J604" t="s">
        <v>2207</v>
      </c>
      <c r="K604" t="s">
        <v>1938</v>
      </c>
      <c r="L604" t="s">
        <v>6212</v>
      </c>
      <c r="M604" t="s">
        <v>6215</v>
      </c>
      <c r="N604">
        <v>0.2</v>
      </c>
      <c r="O604">
        <v>4.4550000000000001</v>
      </c>
      <c r="P604">
        <v>2.2275</v>
      </c>
      <c r="Q604">
        <v>0.49004999999999999</v>
      </c>
      <c r="R604" s="5">
        <v>22.274999999999999</v>
      </c>
    </row>
    <row r="605" spans="1:18" x14ac:dyDescent="0.25">
      <c r="A605" t="s">
        <v>1185</v>
      </c>
      <c r="B605" s="7">
        <v>43660</v>
      </c>
      <c r="C605" t="str">
        <f>TEXT(Table3[[#This Row],[Order Date]],"yyyy")</f>
        <v>2019</v>
      </c>
      <c r="D605" t="s">
        <v>6230</v>
      </c>
      <c r="E605" t="s">
        <v>1186</v>
      </c>
      <c r="F605" t="s">
        <v>168</v>
      </c>
      <c r="G605">
        <v>3</v>
      </c>
      <c r="H605" t="s">
        <v>4580</v>
      </c>
      <c r="I605" t="s">
        <v>6210</v>
      </c>
      <c r="J605" t="s">
        <v>2336</v>
      </c>
      <c r="K605" t="s">
        <v>1947</v>
      </c>
      <c r="L605" t="s">
        <v>6211</v>
      </c>
      <c r="M605" t="s">
        <v>6193</v>
      </c>
      <c r="N605">
        <v>0.2</v>
      </c>
      <c r="O605">
        <v>2.9849999999999999</v>
      </c>
      <c r="P605">
        <v>1.4924999999999999</v>
      </c>
      <c r="Q605">
        <v>0.17909999999999998</v>
      </c>
      <c r="R605" s="5">
        <v>8.9550000000000001</v>
      </c>
    </row>
    <row r="606" spans="1:18" x14ac:dyDescent="0.25">
      <c r="A606" t="s">
        <v>1187</v>
      </c>
      <c r="B606" s="7">
        <v>44148</v>
      </c>
      <c r="C606" t="str">
        <f>TEXT(Table3[[#This Row],[Order Date]],"yyyy")</f>
        <v>2020</v>
      </c>
      <c r="D606" t="s">
        <v>6239</v>
      </c>
      <c r="E606" t="s">
        <v>1188</v>
      </c>
      <c r="F606" t="s">
        <v>115</v>
      </c>
      <c r="G606">
        <v>4</v>
      </c>
      <c r="H606" t="s">
        <v>4583</v>
      </c>
      <c r="I606" t="s">
        <v>1945</v>
      </c>
      <c r="J606" t="s">
        <v>3834</v>
      </c>
      <c r="K606" t="s">
        <v>1947</v>
      </c>
      <c r="L606" t="s">
        <v>6199</v>
      </c>
      <c r="M606" t="s">
        <v>6195</v>
      </c>
      <c r="N606">
        <v>2.5</v>
      </c>
      <c r="O606">
        <v>29.784999999999997</v>
      </c>
      <c r="P606">
        <v>1.1913999999999998</v>
      </c>
      <c r="Q606">
        <v>3.8720499999999998</v>
      </c>
      <c r="R606" s="5">
        <v>119.13999999999999</v>
      </c>
    </row>
    <row r="607" spans="1:18" x14ac:dyDescent="0.25">
      <c r="A607" t="s">
        <v>1189</v>
      </c>
      <c r="B607" s="7">
        <v>44028</v>
      </c>
      <c r="C607" t="str">
        <f>TEXT(Table3[[#This Row],[Order Date]],"yyyy")</f>
        <v>2020</v>
      </c>
      <c r="D607" t="s">
        <v>6230</v>
      </c>
      <c r="E607" t="s">
        <v>1190</v>
      </c>
      <c r="F607" t="s">
        <v>210</v>
      </c>
      <c r="G607">
        <v>5</v>
      </c>
      <c r="H607" t="s">
        <v>4586</v>
      </c>
      <c r="I607" t="s">
        <v>6210</v>
      </c>
      <c r="J607" t="s">
        <v>4590</v>
      </c>
      <c r="K607" t="s">
        <v>1938</v>
      </c>
      <c r="L607" t="s">
        <v>6213</v>
      </c>
      <c r="M607" t="s">
        <v>6215</v>
      </c>
      <c r="N607">
        <v>2.5</v>
      </c>
      <c r="O607">
        <v>29.784999999999997</v>
      </c>
      <c r="P607">
        <v>1.1913999999999998</v>
      </c>
      <c r="Q607">
        <v>2.6806499999999995</v>
      </c>
      <c r="R607" s="5">
        <v>148.92499999999998</v>
      </c>
    </row>
    <row r="608" spans="1:18" x14ac:dyDescent="0.25">
      <c r="A608" t="s">
        <v>1191</v>
      </c>
      <c r="B608" s="7">
        <v>44138</v>
      </c>
      <c r="C608" t="str">
        <f>TEXT(Table3[[#This Row],[Order Date]],"yyyy")</f>
        <v>2020</v>
      </c>
      <c r="D608" t="s">
        <v>6239</v>
      </c>
      <c r="E608" t="s">
        <v>1151</v>
      </c>
      <c r="F608" t="s">
        <v>110</v>
      </c>
      <c r="G608">
        <v>3</v>
      </c>
      <c r="H608" t="s">
        <v>4542</v>
      </c>
      <c r="I608" t="s">
        <v>2112</v>
      </c>
      <c r="J608" t="s">
        <v>2111</v>
      </c>
      <c r="K608" t="s">
        <v>1938</v>
      </c>
      <c r="L608" t="s">
        <v>6199</v>
      </c>
      <c r="M608" t="s">
        <v>6215</v>
      </c>
      <c r="N608">
        <v>2.5</v>
      </c>
      <c r="O608">
        <v>36.454999999999998</v>
      </c>
      <c r="P608">
        <v>1.4581999999999999</v>
      </c>
      <c r="Q608">
        <v>4.7391499999999995</v>
      </c>
      <c r="R608" s="5">
        <v>109.36499999999999</v>
      </c>
    </row>
    <row r="609" spans="1:18" x14ac:dyDescent="0.25">
      <c r="A609" t="s">
        <v>1192</v>
      </c>
      <c r="B609" s="7">
        <v>44640</v>
      </c>
      <c r="C609" t="str">
        <f>TEXT(Table3[[#This Row],[Order Date]],"yyyy")</f>
        <v>2022</v>
      </c>
      <c r="D609" t="s">
        <v>6234</v>
      </c>
      <c r="E609" t="s">
        <v>1193</v>
      </c>
      <c r="F609" t="s">
        <v>57</v>
      </c>
      <c r="G609">
        <v>1</v>
      </c>
      <c r="H609" t="s">
        <v>4596</v>
      </c>
      <c r="I609" t="s">
        <v>6210</v>
      </c>
      <c r="J609" t="s">
        <v>3519</v>
      </c>
      <c r="K609" t="s">
        <v>1938</v>
      </c>
      <c r="L609" t="s">
        <v>6212</v>
      </c>
      <c r="M609" t="s">
        <v>6195</v>
      </c>
      <c r="N609">
        <v>0.2</v>
      </c>
      <c r="O609">
        <v>3.645</v>
      </c>
      <c r="P609">
        <v>1.8225</v>
      </c>
      <c r="Q609">
        <v>0.40095000000000003</v>
      </c>
      <c r="R609" s="5">
        <v>3.645</v>
      </c>
    </row>
    <row r="610" spans="1:18" x14ac:dyDescent="0.25">
      <c r="A610" t="s">
        <v>1194</v>
      </c>
      <c r="B610" s="7">
        <v>44608</v>
      </c>
      <c r="C610" t="str">
        <f>TEXT(Table3[[#This Row],[Order Date]],"yyyy")</f>
        <v>2022</v>
      </c>
      <c r="D610" t="s">
        <v>6238</v>
      </c>
      <c r="E610" t="s">
        <v>1195</v>
      </c>
      <c r="F610" t="s">
        <v>536</v>
      </c>
      <c r="G610">
        <v>2</v>
      </c>
      <c r="H610" t="s">
        <v>4600</v>
      </c>
      <c r="I610" t="s">
        <v>6210</v>
      </c>
      <c r="J610" t="s">
        <v>4188</v>
      </c>
      <c r="K610" t="s">
        <v>1947</v>
      </c>
      <c r="L610" t="s">
        <v>6212</v>
      </c>
      <c r="M610" t="s">
        <v>6195</v>
      </c>
      <c r="N610">
        <v>2.5</v>
      </c>
      <c r="O610">
        <v>27.945</v>
      </c>
      <c r="P610">
        <v>1.1177999999999999</v>
      </c>
      <c r="Q610">
        <v>3.07395</v>
      </c>
      <c r="R610" s="5">
        <v>55.89</v>
      </c>
    </row>
    <row r="611" spans="1:18" x14ac:dyDescent="0.25">
      <c r="A611" t="s">
        <v>1196</v>
      </c>
      <c r="B611" s="7">
        <v>44147</v>
      </c>
      <c r="C611" t="str">
        <f>TEXT(Table3[[#This Row],[Order Date]],"yyyy")</f>
        <v>2020</v>
      </c>
      <c r="D611" t="s">
        <v>6239</v>
      </c>
      <c r="E611" t="s">
        <v>1197</v>
      </c>
      <c r="F611" t="s">
        <v>83</v>
      </c>
      <c r="G611">
        <v>6</v>
      </c>
      <c r="H611" t="s">
        <v>4602</v>
      </c>
      <c r="I611" t="s">
        <v>6210</v>
      </c>
      <c r="J611" t="s">
        <v>3116</v>
      </c>
      <c r="K611" t="s">
        <v>1938</v>
      </c>
      <c r="L611" t="s">
        <v>6199</v>
      </c>
      <c r="M611" t="s">
        <v>6193</v>
      </c>
      <c r="N611">
        <v>0.2</v>
      </c>
      <c r="O611">
        <v>4.3650000000000002</v>
      </c>
      <c r="P611">
        <v>2.1825000000000001</v>
      </c>
      <c r="Q611">
        <v>0.56745000000000001</v>
      </c>
      <c r="R611" s="5">
        <v>26.19</v>
      </c>
    </row>
    <row r="612" spans="1:18" x14ac:dyDescent="0.25">
      <c r="A612" t="s">
        <v>1198</v>
      </c>
      <c r="B612" s="7">
        <v>43743</v>
      </c>
      <c r="C612" t="str">
        <f>TEXT(Table3[[#This Row],[Order Date]],"yyyy")</f>
        <v>2019</v>
      </c>
      <c r="D612" t="s">
        <v>6235</v>
      </c>
      <c r="E612" t="s">
        <v>1199</v>
      </c>
      <c r="F612" t="s">
        <v>8</v>
      </c>
      <c r="G612">
        <v>4</v>
      </c>
      <c r="H612" t="s">
        <v>4606</v>
      </c>
      <c r="I612" t="s">
        <v>6210</v>
      </c>
      <c r="J612" t="s">
        <v>2187</v>
      </c>
      <c r="K612" t="s">
        <v>1947</v>
      </c>
      <c r="L612" t="s">
        <v>6211</v>
      </c>
      <c r="M612" t="s">
        <v>6193</v>
      </c>
      <c r="N612">
        <v>1</v>
      </c>
      <c r="O612">
        <v>9.9499999999999993</v>
      </c>
      <c r="P612">
        <v>0.99499999999999988</v>
      </c>
      <c r="Q612">
        <v>0.59699999999999998</v>
      </c>
      <c r="R612" s="5">
        <v>39.799999999999997</v>
      </c>
    </row>
    <row r="613" spans="1:18" x14ac:dyDescent="0.25">
      <c r="A613" t="s">
        <v>1200</v>
      </c>
      <c r="B613" s="7">
        <v>43739</v>
      </c>
      <c r="C613" t="str">
        <f>TEXT(Table3[[#This Row],[Order Date]],"yyyy")</f>
        <v>2019</v>
      </c>
      <c r="D613" t="s">
        <v>6235</v>
      </c>
      <c r="E613" t="s">
        <v>1201</v>
      </c>
      <c r="F613" t="s">
        <v>36</v>
      </c>
      <c r="G613">
        <v>2</v>
      </c>
      <c r="H613" t="s">
        <v>4610</v>
      </c>
      <c r="I613" t="s">
        <v>6210</v>
      </c>
      <c r="J613" t="s">
        <v>3519</v>
      </c>
      <c r="K613" t="s">
        <v>1947</v>
      </c>
      <c r="L613" t="s">
        <v>6212</v>
      </c>
      <c r="M613" t="s">
        <v>6215</v>
      </c>
      <c r="N613">
        <v>2.5</v>
      </c>
      <c r="O613">
        <v>34.154999999999994</v>
      </c>
      <c r="P613">
        <v>1.3661999999999999</v>
      </c>
      <c r="Q613">
        <v>3.7570499999999996</v>
      </c>
      <c r="R613" s="5">
        <v>68.309999999999988</v>
      </c>
    </row>
    <row r="614" spans="1:18" x14ac:dyDescent="0.25">
      <c r="A614" t="s">
        <v>1202</v>
      </c>
      <c r="B614" s="7">
        <v>43896</v>
      </c>
      <c r="C614" t="str">
        <f>TEXT(Table3[[#This Row],[Order Date]],"yyyy")</f>
        <v>2020</v>
      </c>
      <c r="D614" t="s">
        <v>6234</v>
      </c>
      <c r="E614" t="s">
        <v>1203</v>
      </c>
      <c r="F614" t="s">
        <v>50</v>
      </c>
      <c r="G614">
        <v>4</v>
      </c>
      <c r="H614" t="s">
        <v>4614</v>
      </c>
      <c r="I614" t="s">
        <v>1945</v>
      </c>
      <c r="J614" t="s">
        <v>2362</v>
      </c>
      <c r="K614" t="s">
        <v>1947</v>
      </c>
      <c r="L614" t="s">
        <v>6213</v>
      </c>
      <c r="M614" t="s">
        <v>6193</v>
      </c>
      <c r="N614">
        <v>0.2</v>
      </c>
      <c r="O614">
        <v>3.375</v>
      </c>
      <c r="P614">
        <v>1.6875</v>
      </c>
      <c r="Q614">
        <v>0.30374999999999996</v>
      </c>
      <c r="R614" s="5">
        <v>13.5</v>
      </c>
    </row>
    <row r="615" spans="1:18" x14ac:dyDescent="0.25">
      <c r="A615" t="s">
        <v>1204</v>
      </c>
      <c r="B615" s="7">
        <v>43761</v>
      </c>
      <c r="C615" t="str">
        <f>TEXT(Table3[[#This Row],[Order Date]],"yyyy")</f>
        <v>2019</v>
      </c>
      <c r="D615" t="s">
        <v>6235</v>
      </c>
      <c r="E615" t="s">
        <v>1205</v>
      </c>
      <c r="F615" t="s">
        <v>28</v>
      </c>
      <c r="G615">
        <v>1</v>
      </c>
      <c r="H615" t="s">
        <v>4617</v>
      </c>
      <c r="I615" t="s">
        <v>6210</v>
      </c>
      <c r="J615" t="s">
        <v>2994</v>
      </c>
      <c r="K615" t="s">
        <v>1947</v>
      </c>
      <c r="L615" t="s">
        <v>6211</v>
      </c>
      <c r="M615" t="s">
        <v>6193</v>
      </c>
      <c r="N615">
        <v>0.5</v>
      </c>
      <c r="O615">
        <v>5.97</v>
      </c>
      <c r="P615">
        <v>1.194</v>
      </c>
      <c r="Q615">
        <v>0.35819999999999996</v>
      </c>
      <c r="R615" s="5">
        <v>5.97</v>
      </c>
    </row>
    <row r="616" spans="1:18" x14ac:dyDescent="0.25">
      <c r="A616" t="s">
        <v>1206</v>
      </c>
      <c r="B616" s="7">
        <v>43944</v>
      </c>
      <c r="C616" t="str">
        <f>TEXT(Table3[[#This Row],[Order Date]],"yyyy")</f>
        <v>2020</v>
      </c>
      <c r="D616" t="s">
        <v>6236</v>
      </c>
      <c r="E616" t="s">
        <v>1151</v>
      </c>
      <c r="F616" t="s">
        <v>28</v>
      </c>
      <c r="G616">
        <v>5</v>
      </c>
      <c r="H616" t="s">
        <v>4542</v>
      </c>
      <c r="I616" t="s">
        <v>2112</v>
      </c>
      <c r="J616" t="s">
        <v>2111</v>
      </c>
      <c r="K616" t="s">
        <v>1938</v>
      </c>
      <c r="L616" t="s">
        <v>6211</v>
      </c>
      <c r="M616" t="s">
        <v>6193</v>
      </c>
      <c r="N616">
        <v>0.5</v>
      </c>
      <c r="O616">
        <v>5.97</v>
      </c>
      <c r="P616">
        <v>1.194</v>
      </c>
      <c r="Q616">
        <v>0.35819999999999996</v>
      </c>
      <c r="R616" s="5">
        <v>29.849999999999998</v>
      </c>
    </row>
    <row r="617" spans="1:18" x14ac:dyDescent="0.25">
      <c r="A617" t="s">
        <v>1207</v>
      </c>
      <c r="B617" s="7">
        <v>44006</v>
      </c>
      <c r="C617" t="str">
        <f>TEXT(Table3[[#This Row],[Order Date]],"yyyy")</f>
        <v>2020</v>
      </c>
      <c r="D617" t="s">
        <v>6229</v>
      </c>
      <c r="E617" t="s">
        <v>1208</v>
      </c>
      <c r="F617" t="s">
        <v>110</v>
      </c>
      <c r="G617">
        <v>2</v>
      </c>
      <c r="H617" t="s">
        <v>4624</v>
      </c>
      <c r="I617" t="s">
        <v>6210</v>
      </c>
      <c r="J617" t="s">
        <v>2546</v>
      </c>
      <c r="K617" t="s">
        <v>1938</v>
      </c>
      <c r="L617" t="s">
        <v>6199</v>
      </c>
      <c r="M617" t="s">
        <v>6215</v>
      </c>
      <c r="N617">
        <v>2.5</v>
      </c>
      <c r="O617">
        <v>36.454999999999998</v>
      </c>
      <c r="P617">
        <v>1.4581999999999999</v>
      </c>
      <c r="Q617">
        <v>4.7391499999999995</v>
      </c>
      <c r="R617" s="5">
        <v>72.91</v>
      </c>
    </row>
    <row r="618" spans="1:18" x14ac:dyDescent="0.25">
      <c r="A618" t="s">
        <v>1209</v>
      </c>
      <c r="B618" s="7">
        <v>44271</v>
      </c>
      <c r="C618" t="str">
        <f>TEXT(Table3[[#This Row],[Order Date]],"yyyy")</f>
        <v>2021</v>
      </c>
      <c r="D618" t="s">
        <v>6234</v>
      </c>
      <c r="E618" t="s">
        <v>1210</v>
      </c>
      <c r="F618" t="s">
        <v>118</v>
      </c>
      <c r="G618">
        <v>4</v>
      </c>
      <c r="H618" t="s">
        <v>4628</v>
      </c>
      <c r="I618" t="s">
        <v>2112</v>
      </c>
      <c r="J618" t="s">
        <v>4632</v>
      </c>
      <c r="K618" t="s">
        <v>1947</v>
      </c>
      <c r="L618" t="s">
        <v>6212</v>
      </c>
      <c r="M618" t="s">
        <v>6193</v>
      </c>
      <c r="N618">
        <v>2.5</v>
      </c>
      <c r="O618">
        <v>31.624999999999996</v>
      </c>
      <c r="P618">
        <v>1.2649999999999999</v>
      </c>
      <c r="Q618">
        <v>3.4787499999999998</v>
      </c>
      <c r="R618" s="5">
        <v>126.49999999999999</v>
      </c>
    </row>
    <row r="619" spans="1:18" x14ac:dyDescent="0.25">
      <c r="A619" t="s">
        <v>1211</v>
      </c>
      <c r="B619" s="7">
        <v>43928</v>
      </c>
      <c r="C619" t="str">
        <f>TEXT(Table3[[#This Row],[Order Date]],"yyyy")</f>
        <v>2020</v>
      </c>
      <c r="D619" t="s">
        <v>6236</v>
      </c>
      <c r="E619" t="s">
        <v>1212</v>
      </c>
      <c r="F619" t="s">
        <v>203</v>
      </c>
      <c r="G619">
        <v>1</v>
      </c>
      <c r="H619" t="s">
        <v>4634</v>
      </c>
      <c r="I619" t="s">
        <v>6210</v>
      </c>
      <c r="J619" t="s">
        <v>2811</v>
      </c>
      <c r="K619" t="s">
        <v>1947</v>
      </c>
      <c r="L619" t="s">
        <v>6199</v>
      </c>
      <c r="M619" t="s">
        <v>6193</v>
      </c>
      <c r="N619">
        <v>2.5</v>
      </c>
      <c r="O619">
        <v>33.464999999999996</v>
      </c>
      <c r="P619">
        <v>1.3385999999999998</v>
      </c>
      <c r="Q619">
        <v>4.3504499999999995</v>
      </c>
      <c r="R619" s="5">
        <v>33.464999999999996</v>
      </c>
    </row>
    <row r="620" spans="1:18" x14ac:dyDescent="0.25">
      <c r="A620" t="s">
        <v>1213</v>
      </c>
      <c r="B620" s="7">
        <v>44469</v>
      </c>
      <c r="C620" t="str">
        <f>TEXT(Table3[[#This Row],[Order Date]],"yyyy")</f>
        <v>2021</v>
      </c>
      <c r="D620" t="s">
        <v>6228</v>
      </c>
      <c r="E620" t="s">
        <v>1214</v>
      </c>
      <c r="F620" t="s">
        <v>251</v>
      </c>
      <c r="G620">
        <v>6</v>
      </c>
      <c r="H620" t="s">
        <v>4638</v>
      </c>
      <c r="I620" t="s">
        <v>6210</v>
      </c>
      <c r="J620" t="s">
        <v>2033</v>
      </c>
      <c r="K620" t="s">
        <v>1938</v>
      </c>
      <c r="L620" t="s">
        <v>6212</v>
      </c>
      <c r="M620" t="s">
        <v>6195</v>
      </c>
      <c r="N620">
        <v>1</v>
      </c>
      <c r="O620">
        <v>12.15</v>
      </c>
      <c r="P620">
        <v>1.2150000000000001</v>
      </c>
      <c r="Q620">
        <v>1.3365</v>
      </c>
      <c r="R620" s="5">
        <v>72.900000000000006</v>
      </c>
    </row>
    <row r="621" spans="1:18" x14ac:dyDescent="0.25">
      <c r="A621" t="s">
        <v>1215</v>
      </c>
      <c r="B621" s="7">
        <v>44682</v>
      </c>
      <c r="C621" t="str">
        <f>TEXT(Table3[[#This Row],[Order Date]],"yyyy")</f>
        <v>2022</v>
      </c>
      <c r="D621" t="s">
        <v>6233</v>
      </c>
      <c r="E621" t="s">
        <v>1216</v>
      </c>
      <c r="F621" t="s">
        <v>129</v>
      </c>
      <c r="G621">
        <v>2</v>
      </c>
      <c r="H621" t="s">
        <v>4642</v>
      </c>
      <c r="I621" t="s">
        <v>6210</v>
      </c>
      <c r="J621" t="s">
        <v>4646</v>
      </c>
      <c r="K621" t="s">
        <v>1938</v>
      </c>
      <c r="L621" t="s">
        <v>6199</v>
      </c>
      <c r="M621" t="s">
        <v>6195</v>
      </c>
      <c r="N621">
        <v>0.5</v>
      </c>
      <c r="O621">
        <v>7.77</v>
      </c>
      <c r="P621">
        <v>1.5539999999999998</v>
      </c>
      <c r="Q621">
        <v>1.0101</v>
      </c>
      <c r="R621" s="5">
        <v>15.54</v>
      </c>
    </row>
    <row r="622" spans="1:18" x14ac:dyDescent="0.25">
      <c r="A622" t="s">
        <v>1217</v>
      </c>
      <c r="B622" s="7">
        <v>44217</v>
      </c>
      <c r="C622" t="str">
        <f>TEXT(Table3[[#This Row],[Order Date]],"yyyy")</f>
        <v>2021</v>
      </c>
      <c r="D622" t="s">
        <v>6232</v>
      </c>
      <c r="E622" t="s">
        <v>1218</v>
      </c>
      <c r="F622" t="s">
        <v>50</v>
      </c>
      <c r="G622">
        <v>6</v>
      </c>
      <c r="H622" t="s">
        <v>4686</v>
      </c>
      <c r="I622" t="s">
        <v>6210</v>
      </c>
      <c r="J622" t="s">
        <v>2187</v>
      </c>
      <c r="K622" t="s">
        <v>1947</v>
      </c>
      <c r="L622" t="s">
        <v>6213</v>
      </c>
      <c r="M622" t="s">
        <v>6193</v>
      </c>
      <c r="N622">
        <v>0.2</v>
      </c>
      <c r="O622">
        <v>3.375</v>
      </c>
      <c r="P622">
        <v>1.6875</v>
      </c>
      <c r="Q622">
        <v>0.30374999999999996</v>
      </c>
      <c r="R622" s="5">
        <v>20.25</v>
      </c>
    </row>
    <row r="623" spans="1:18" x14ac:dyDescent="0.25">
      <c r="A623" t="s">
        <v>1219</v>
      </c>
      <c r="B623" s="7">
        <v>44006</v>
      </c>
      <c r="C623" t="str">
        <f>TEXT(Table3[[#This Row],[Order Date]],"yyyy")</f>
        <v>2020</v>
      </c>
      <c r="D623" t="s">
        <v>6229</v>
      </c>
      <c r="E623" t="s">
        <v>1220</v>
      </c>
      <c r="F623" t="s">
        <v>12</v>
      </c>
      <c r="G623">
        <v>6</v>
      </c>
      <c r="H623" t="s">
        <v>4652</v>
      </c>
      <c r="I623" t="s">
        <v>6210</v>
      </c>
      <c r="J623" t="s">
        <v>2018</v>
      </c>
      <c r="K623" t="s">
        <v>1947</v>
      </c>
      <c r="L623" t="s">
        <v>6213</v>
      </c>
      <c r="M623" t="s">
        <v>6215</v>
      </c>
      <c r="N623">
        <v>1</v>
      </c>
      <c r="O623">
        <v>12.95</v>
      </c>
      <c r="P623">
        <v>1.2949999999999999</v>
      </c>
      <c r="Q623">
        <v>1.1655</v>
      </c>
      <c r="R623" s="5">
        <v>77.699999999999989</v>
      </c>
    </row>
    <row r="624" spans="1:18" x14ac:dyDescent="0.25">
      <c r="A624" t="s">
        <v>1221</v>
      </c>
      <c r="B624" s="7">
        <v>43527</v>
      </c>
      <c r="C624" t="str">
        <f>TEXT(Table3[[#This Row],[Order Date]],"yyyy")</f>
        <v>2019</v>
      </c>
      <c r="D624" t="s">
        <v>6234</v>
      </c>
      <c r="E624" t="s">
        <v>1222</v>
      </c>
      <c r="F624" t="s">
        <v>203</v>
      </c>
      <c r="G624">
        <v>4</v>
      </c>
      <c r="H624" t="s">
        <v>4656</v>
      </c>
      <c r="I624" t="s">
        <v>6210</v>
      </c>
      <c r="J624" t="s">
        <v>3365</v>
      </c>
      <c r="K624" t="s">
        <v>1947</v>
      </c>
      <c r="L624" t="s">
        <v>6199</v>
      </c>
      <c r="M624" t="s">
        <v>6193</v>
      </c>
      <c r="N624">
        <v>2.5</v>
      </c>
      <c r="O624">
        <v>33.464999999999996</v>
      </c>
      <c r="P624">
        <v>1.3385999999999998</v>
      </c>
      <c r="Q624">
        <v>4.3504499999999995</v>
      </c>
      <c r="R624" s="5">
        <v>133.85999999999999</v>
      </c>
    </row>
    <row r="625" spans="1:18" x14ac:dyDescent="0.25">
      <c r="A625" t="s">
        <v>1223</v>
      </c>
      <c r="B625" s="7">
        <v>44224</v>
      </c>
      <c r="C625" t="str">
        <f>TEXT(Table3[[#This Row],[Order Date]],"yyyy")</f>
        <v>2021</v>
      </c>
      <c r="D625" t="s">
        <v>6232</v>
      </c>
      <c r="E625" t="s">
        <v>1224</v>
      </c>
      <c r="F625" t="s">
        <v>251</v>
      </c>
      <c r="G625">
        <v>1</v>
      </c>
      <c r="H625" t="s">
        <v>4659</v>
      </c>
      <c r="I625" t="s">
        <v>2112</v>
      </c>
      <c r="J625" t="s">
        <v>4662</v>
      </c>
      <c r="K625" t="s">
        <v>1947</v>
      </c>
      <c r="L625" t="s">
        <v>6212</v>
      </c>
      <c r="M625" t="s">
        <v>6195</v>
      </c>
      <c r="N625">
        <v>1</v>
      </c>
      <c r="O625">
        <v>12.15</v>
      </c>
      <c r="P625">
        <v>1.2150000000000001</v>
      </c>
      <c r="Q625">
        <v>1.3365</v>
      </c>
      <c r="R625" s="5">
        <v>12.15</v>
      </c>
    </row>
    <row r="626" spans="1:18" x14ac:dyDescent="0.25">
      <c r="A626" t="s">
        <v>1225</v>
      </c>
      <c r="B626" s="7">
        <v>44010</v>
      </c>
      <c r="C626" t="str">
        <f>TEXT(Table3[[#This Row],[Order Date]],"yyyy")</f>
        <v>2020</v>
      </c>
      <c r="D626" t="s">
        <v>6229</v>
      </c>
      <c r="E626" t="s">
        <v>1226</v>
      </c>
      <c r="F626" t="s">
        <v>118</v>
      </c>
      <c r="G626">
        <v>2</v>
      </c>
      <c r="H626" t="s">
        <v>4664</v>
      </c>
      <c r="I626" t="s">
        <v>1945</v>
      </c>
      <c r="J626" t="s">
        <v>4667</v>
      </c>
      <c r="K626" t="s">
        <v>1938</v>
      </c>
      <c r="L626" t="s">
        <v>6212</v>
      </c>
      <c r="M626" t="s">
        <v>6193</v>
      </c>
      <c r="N626">
        <v>2.5</v>
      </c>
      <c r="O626">
        <v>31.624999999999996</v>
      </c>
      <c r="P626">
        <v>1.2649999999999999</v>
      </c>
      <c r="Q626">
        <v>3.4787499999999998</v>
      </c>
      <c r="R626" s="5">
        <v>63.249999999999993</v>
      </c>
    </row>
    <row r="627" spans="1:18" x14ac:dyDescent="0.25">
      <c r="A627" t="s">
        <v>1227</v>
      </c>
      <c r="B627" s="7">
        <v>44017</v>
      </c>
      <c r="C627" t="str">
        <f>TEXT(Table3[[#This Row],[Order Date]],"yyyy")</f>
        <v>2020</v>
      </c>
      <c r="D627" t="s">
        <v>6230</v>
      </c>
      <c r="E627" t="s">
        <v>1228</v>
      </c>
      <c r="F627" t="s">
        <v>163</v>
      </c>
      <c r="G627">
        <v>5</v>
      </c>
      <c r="H627" t="s">
        <v>4669</v>
      </c>
      <c r="I627" t="s">
        <v>6210</v>
      </c>
      <c r="J627" t="s">
        <v>3085</v>
      </c>
      <c r="K627" t="s">
        <v>1947</v>
      </c>
      <c r="L627" t="s">
        <v>6211</v>
      </c>
      <c r="M627" t="s">
        <v>6215</v>
      </c>
      <c r="N627">
        <v>0.5</v>
      </c>
      <c r="O627">
        <v>7.169999999999999</v>
      </c>
      <c r="P627">
        <v>1.4339999999999997</v>
      </c>
      <c r="Q627">
        <v>0.43019999999999992</v>
      </c>
      <c r="R627" s="5">
        <v>35.849999999999994</v>
      </c>
    </row>
    <row r="628" spans="1:18" x14ac:dyDescent="0.25">
      <c r="A628" t="s">
        <v>1229</v>
      </c>
      <c r="B628" s="7">
        <v>43526</v>
      </c>
      <c r="C628" t="str">
        <f>TEXT(Table3[[#This Row],[Order Date]],"yyyy")</f>
        <v>2019</v>
      </c>
      <c r="D628" t="s">
        <v>6234</v>
      </c>
      <c r="E628" t="s">
        <v>1230</v>
      </c>
      <c r="F628" t="s">
        <v>177</v>
      </c>
      <c r="G628">
        <v>3</v>
      </c>
      <c r="H628" t="s">
        <v>4673</v>
      </c>
      <c r="I628" t="s">
        <v>6210</v>
      </c>
      <c r="J628" t="s">
        <v>4590</v>
      </c>
      <c r="K628" t="s">
        <v>1947</v>
      </c>
      <c r="L628" t="s">
        <v>6213</v>
      </c>
      <c r="M628" t="s">
        <v>6193</v>
      </c>
      <c r="N628">
        <v>2.5</v>
      </c>
      <c r="O628">
        <v>25.874999999999996</v>
      </c>
      <c r="P628">
        <v>1.0349999999999999</v>
      </c>
      <c r="Q628">
        <v>2.3287499999999994</v>
      </c>
      <c r="R628" s="5">
        <v>77.624999999999986</v>
      </c>
    </row>
    <row r="629" spans="1:18" x14ac:dyDescent="0.25">
      <c r="A629" t="s">
        <v>1231</v>
      </c>
      <c r="B629" s="7">
        <v>44682</v>
      </c>
      <c r="C629" t="str">
        <f>TEXT(Table3[[#This Row],[Order Date]],"yyyy")</f>
        <v>2022</v>
      </c>
      <c r="D629" t="s">
        <v>6233</v>
      </c>
      <c r="E629" t="s">
        <v>1232</v>
      </c>
      <c r="F629" t="s">
        <v>118</v>
      </c>
      <c r="G629">
        <v>2</v>
      </c>
      <c r="H629" t="s">
        <v>4677</v>
      </c>
      <c r="I629" t="s">
        <v>6210</v>
      </c>
      <c r="J629" t="s">
        <v>2023</v>
      </c>
      <c r="K629" t="s">
        <v>1938</v>
      </c>
      <c r="L629" t="s">
        <v>6212</v>
      </c>
      <c r="M629" t="s">
        <v>6193</v>
      </c>
      <c r="N629">
        <v>2.5</v>
      </c>
      <c r="O629">
        <v>31.624999999999996</v>
      </c>
      <c r="P629">
        <v>1.2649999999999999</v>
      </c>
      <c r="Q629">
        <v>3.4787499999999998</v>
      </c>
      <c r="R629" s="5">
        <v>63.249999999999993</v>
      </c>
    </row>
    <row r="630" spans="1:18" x14ac:dyDescent="0.25">
      <c r="A630" t="s">
        <v>1233</v>
      </c>
      <c r="B630" s="7">
        <v>44680</v>
      </c>
      <c r="C630" t="str">
        <f>TEXT(Table3[[#This Row],[Order Date]],"yyyy")</f>
        <v>2022</v>
      </c>
      <c r="D630" t="s">
        <v>6236</v>
      </c>
      <c r="E630" t="s">
        <v>1234</v>
      </c>
      <c r="F630" t="s">
        <v>260</v>
      </c>
      <c r="G630">
        <v>6</v>
      </c>
      <c r="H630" t="s">
        <v>4681</v>
      </c>
      <c r="I630" t="s">
        <v>1945</v>
      </c>
      <c r="J630" t="s">
        <v>4685</v>
      </c>
      <c r="K630" t="s">
        <v>1938</v>
      </c>
      <c r="L630" t="s">
        <v>6212</v>
      </c>
      <c r="M630" t="s">
        <v>6215</v>
      </c>
      <c r="N630">
        <v>0.2</v>
      </c>
      <c r="O630">
        <v>4.4550000000000001</v>
      </c>
      <c r="P630">
        <v>2.2275</v>
      </c>
      <c r="Q630">
        <v>0.49004999999999999</v>
      </c>
      <c r="R630" s="5">
        <v>26.73</v>
      </c>
    </row>
    <row r="631" spans="1:18" x14ac:dyDescent="0.25">
      <c r="A631" t="s">
        <v>1233</v>
      </c>
      <c r="B631" s="7">
        <v>44680</v>
      </c>
      <c r="C631" t="str">
        <f>TEXT(Table3[[#This Row],[Order Date]],"yyyy")</f>
        <v>2022</v>
      </c>
      <c r="D631" t="s">
        <v>6236</v>
      </c>
      <c r="E631" t="s">
        <v>1234</v>
      </c>
      <c r="F631" t="s">
        <v>129</v>
      </c>
      <c r="G631">
        <v>4</v>
      </c>
      <c r="H631" t="s">
        <v>4681</v>
      </c>
      <c r="I631" t="s">
        <v>1945</v>
      </c>
      <c r="J631" t="s">
        <v>4685</v>
      </c>
      <c r="K631" t="s">
        <v>1938</v>
      </c>
      <c r="L631" t="s">
        <v>6199</v>
      </c>
      <c r="M631" t="s">
        <v>6195</v>
      </c>
      <c r="N631">
        <v>0.5</v>
      </c>
      <c r="O631">
        <v>7.77</v>
      </c>
      <c r="P631">
        <v>1.5539999999999998</v>
      </c>
      <c r="Q631">
        <v>1.0101</v>
      </c>
      <c r="R631" s="5">
        <v>31.08</v>
      </c>
    </row>
    <row r="632" spans="1:18" x14ac:dyDescent="0.25">
      <c r="A632" t="s">
        <v>1233</v>
      </c>
      <c r="B632" s="7">
        <v>44680</v>
      </c>
      <c r="C632" t="str">
        <f>TEXT(Table3[[#This Row],[Order Date]],"yyyy")</f>
        <v>2022</v>
      </c>
      <c r="D632" t="s">
        <v>6236</v>
      </c>
      <c r="E632" t="s">
        <v>1234</v>
      </c>
      <c r="F632" t="s">
        <v>60</v>
      </c>
      <c r="G632">
        <v>1</v>
      </c>
      <c r="H632" t="s">
        <v>4681</v>
      </c>
      <c r="I632" t="s">
        <v>1945</v>
      </c>
      <c r="J632" t="s">
        <v>4685</v>
      </c>
      <c r="K632" t="s">
        <v>1938</v>
      </c>
      <c r="L632" t="s">
        <v>6213</v>
      </c>
      <c r="M632" t="s">
        <v>6195</v>
      </c>
      <c r="N632">
        <v>0.2</v>
      </c>
      <c r="O632">
        <v>2.9849999999999999</v>
      </c>
      <c r="P632">
        <v>1.4924999999999999</v>
      </c>
      <c r="Q632">
        <v>0.26865</v>
      </c>
      <c r="R632" s="5">
        <v>2.9849999999999999</v>
      </c>
    </row>
    <row r="633" spans="1:18" x14ac:dyDescent="0.25">
      <c r="A633" t="s">
        <v>1233</v>
      </c>
      <c r="B633" s="7">
        <v>44680</v>
      </c>
      <c r="C633" t="str">
        <f>TEXT(Table3[[#This Row],[Order Date]],"yyyy")</f>
        <v>2022</v>
      </c>
      <c r="D633" t="s">
        <v>6236</v>
      </c>
      <c r="E633" t="s">
        <v>1234</v>
      </c>
      <c r="F633" t="s">
        <v>41</v>
      </c>
      <c r="G633">
        <v>5</v>
      </c>
      <c r="H633" t="s">
        <v>4681</v>
      </c>
      <c r="I633" t="s">
        <v>1945</v>
      </c>
      <c r="J633" t="s">
        <v>4685</v>
      </c>
      <c r="K633" t="s">
        <v>1938</v>
      </c>
      <c r="L633" t="s">
        <v>6211</v>
      </c>
      <c r="M633" t="s">
        <v>6195</v>
      </c>
      <c r="N633">
        <v>2.5</v>
      </c>
      <c r="O633">
        <v>20.584999999999997</v>
      </c>
      <c r="P633">
        <v>0.82339999999999991</v>
      </c>
      <c r="Q633">
        <v>1.2350999999999999</v>
      </c>
      <c r="R633" s="5">
        <v>102.92499999999998</v>
      </c>
    </row>
    <row r="634" spans="1:18" x14ac:dyDescent="0.25">
      <c r="A634" t="s">
        <v>1235</v>
      </c>
      <c r="B634" s="7">
        <v>44049</v>
      </c>
      <c r="C634" t="str">
        <f>TEXT(Table3[[#This Row],[Order Date]],"yyyy")</f>
        <v>2020</v>
      </c>
      <c r="D634" t="s">
        <v>6231</v>
      </c>
      <c r="E634" t="s">
        <v>1236</v>
      </c>
      <c r="F634" t="s">
        <v>182</v>
      </c>
      <c r="G634">
        <v>4</v>
      </c>
      <c r="H634" t="s">
        <v>4699</v>
      </c>
      <c r="I634" t="s">
        <v>6210</v>
      </c>
      <c r="J634" t="s">
        <v>1982</v>
      </c>
      <c r="K634" t="s">
        <v>1947</v>
      </c>
      <c r="L634" t="s">
        <v>6212</v>
      </c>
      <c r="M634" t="s">
        <v>6215</v>
      </c>
      <c r="N634">
        <v>0.5</v>
      </c>
      <c r="O634">
        <v>8.91</v>
      </c>
      <c r="P634">
        <v>1.782</v>
      </c>
      <c r="Q634">
        <v>0.98009999999999997</v>
      </c>
      <c r="R634" s="5">
        <v>35.64</v>
      </c>
    </row>
    <row r="635" spans="1:18" x14ac:dyDescent="0.25">
      <c r="A635" t="s">
        <v>1237</v>
      </c>
      <c r="B635" s="7">
        <v>43820</v>
      </c>
      <c r="C635" t="str">
        <f>TEXT(Table3[[#This Row],[Order Date]],"yyyy")</f>
        <v>2019</v>
      </c>
      <c r="D635" t="s">
        <v>6237</v>
      </c>
      <c r="E635" t="s">
        <v>1238</v>
      </c>
      <c r="F635" t="s">
        <v>195</v>
      </c>
      <c r="G635">
        <v>4</v>
      </c>
      <c r="H635" t="s">
        <v>4703</v>
      </c>
      <c r="I635" t="s">
        <v>6210</v>
      </c>
      <c r="J635" t="s">
        <v>2999</v>
      </c>
      <c r="K635" t="s">
        <v>1947</v>
      </c>
      <c r="L635" t="s">
        <v>6211</v>
      </c>
      <c r="M635" t="s">
        <v>6215</v>
      </c>
      <c r="N635">
        <v>1</v>
      </c>
      <c r="O635">
        <v>11.95</v>
      </c>
      <c r="P635">
        <v>1.1949999999999998</v>
      </c>
      <c r="Q635">
        <v>0.71699999999999997</v>
      </c>
      <c r="R635" s="5">
        <v>47.8</v>
      </c>
    </row>
    <row r="636" spans="1:18" x14ac:dyDescent="0.25">
      <c r="A636" t="s">
        <v>1239</v>
      </c>
      <c r="B636" s="7">
        <v>43940</v>
      </c>
      <c r="C636" t="str">
        <f>TEXT(Table3[[#This Row],[Order Date]],"yyyy")</f>
        <v>2020</v>
      </c>
      <c r="D636" t="s">
        <v>6236</v>
      </c>
      <c r="E636" t="s">
        <v>1240</v>
      </c>
      <c r="F636" t="s">
        <v>102</v>
      </c>
      <c r="G636">
        <v>3</v>
      </c>
      <c r="H636" t="s">
        <v>4707</v>
      </c>
      <c r="I636" t="s">
        <v>6210</v>
      </c>
      <c r="J636" t="s">
        <v>3174</v>
      </c>
      <c r="K636" t="s">
        <v>1947</v>
      </c>
      <c r="L636" t="s">
        <v>6199</v>
      </c>
      <c r="M636" t="s">
        <v>6193</v>
      </c>
      <c r="N636">
        <v>1</v>
      </c>
      <c r="O636">
        <v>14.55</v>
      </c>
      <c r="P636">
        <v>1.4550000000000001</v>
      </c>
      <c r="Q636">
        <v>1.8915000000000002</v>
      </c>
      <c r="R636" s="5">
        <v>43.650000000000006</v>
      </c>
    </row>
    <row r="637" spans="1:18" x14ac:dyDescent="0.25">
      <c r="A637" t="s">
        <v>1241</v>
      </c>
      <c r="B637" s="7">
        <v>44578</v>
      </c>
      <c r="C637" t="str">
        <f>TEXT(Table3[[#This Row],[Order Date]],"yyyy")</f>
        <v>2022</v>
      </c>
      <c r="D637" t="s">
        <v>6232</v>
      </c>
      <c r="E637" t="s">
        <v>1242</v>
      </c>
      <c r="F637" t="s">
        <v>182</v>
      </c>
      <c r="G637">
        <v>4</v>
      </c>
      <c r="H637" t="s">
        <v>4711</v>
      </c>
      <c r="I637" t="s">
        <v>6210</v>
      </c>
      <c r="J637" t="s">
        <v>2952</v>
      </c>
      <c r="K637" t="s">
        <v>1938</v>
      </c>
      <c r="L637" t="s">
        <v>6212</v>
      </c>
      <c r="M637" t="s">
        <v>6215</v>
      </c>
      <c r="N637">
        <v>0.5</v>
      </c>
      <c r="O637">
        <v>8.91</v>
      </c>
      <c r="P637">
        <v>1.782</v>
      </c>
      <c r="Q637">
        <v>0.98009999999999997</v>
      </c>
      <c r="R637" s="5">
        <v>35.64</v>
      </c>
    </row>
    <row r="638" spans="1:18" x14ac:dyDescent="0.25">
      <c r="A638" t="s">
        <v>1243</v>
      </c>
      <c r="B638" s="7">
        <v>43487</v>
      </c>
      <c r="C638" t="str">
        <f>TEXT(Table3[[#This Row],[Order Date]],"yyyy")</f>
        <v>2019</v>
      </c>
      <c r="D638" t="s">
        <v>6232</v>
      </c>
      <c r="E638" t="s">
        <v>1244</v>
      </c>
      <c r="F638" t="s">
        <v>138</v>
      </c>
      <c r="G638">
        <v>6</v>
      </c>
      <c r="H638" t="s">
        <v>4715</v>
      </c>
      <c r="I638" t="s">
        <v>6210</v>
      </c>
      <c r="J638" t="s">
        <v>2123</v>
      </c>
      <c r="K638" t="s">
        <v>1938</v>
      </c>
      <c r="L638" t="s">
        <v>6199</v>
      </c>
      <c r="M638" t="s">
        <v>6215</v>
      </c>
      <c r="N638">
        <v>1</v>
      </c>
      <c r="O638">
        <v>15.85</v>
      </c>
      <c r="P638">
        <v>1.585</v>
      </c>
      <c r="Q638">
        <v>2.0605000000000002</v>
      </c>
      <c r="R638" s="5">
        <v>95.1</v>
      </c>
    </row>
    <row r="639" spans="1:18" x14ac:dyDescent="0.25">
      <c r="A639" t="s">
        <v>1245</v>
      </c>
      <c r="B639" s="7">
        <v>43889</v>
      </c>
      <c r="C639" t="str">
        <f>TEXT(Table3[[#This Row],[Order Date]],"yyyy")</f>
        <v>2020</v>
      </c>
      <c r="D639" t="s">
        <v>6238</v>
      </c>
      <c r="E639" t="s">
        <v>1246</v>
      </c>
      <c r="F639" t="s">
        <v>118</v>
      </c>
      <c r="G639">
        <v>1</v>
      </c>
      <c r="H639" t="s">
        <v>4719</v>
      </c>
      <c r="I639" t="s">
        <v>1945</v>
      </c>
      <c r="J639" t="s">
        <v>4723</v>
      </c>
      <c r="K639" t="s">
        <v>1938</v>
      </c>
      <c r="L639" t="s">
        <v>6212</v>
      </c>
      <c r="M639" t="s">
        <v>6193</v>
      </c>
      <c r="N639">
        <v>2.5</v>
      </c>
      <c r="O639">
        <v>31.624999999999996</v>
      </c>
      <c r="P639">
        <v>1.2649999999999999</v>
      </c>
      <c r="Q639">
        <v>3.4787499999999998</v>
      </c>
      <c r="R639" s="5">
        <v>31.624999999999996</v>
      </c>
    </row>
    <row r="640" spans="1:18" x14ac:dyDescent="0.25">
      <c r="A640" t="s">
        <v>1247</v>
      </c>
      <c r="B640" s="7">
        <v>43684</v>
      </c>
      <c r="C640" t="str">
        <f>TEXT(Table3[[#This Row],[Order Date]],"yyyy")</f>
        <v>2019</v>
      </c>
      <c r="D640" t="s">
        <v>6231</v>
      </c>
      <c r="E640" t="s">
        <v>1248</v>
      </c>
      <c r="F640" t="s">
        <v>177</v>
      </c>
      <c r="G640">
        <v>3</v>
      </c>
      <c r="H640" t="s">
        <v>4724</v>
      </c>
      <c r="I640" t="s">
        <v>1945</v>
      </c>
      <c r="J640" t="s">
        <v>4411</v>
      </c>
      <c r="K640" t="s">
        <v>1938</v>
      </c>
      <c r="L640" t="s">
        <v>6213</v>
      </c>
      <c r="M640" t="s">
        <v>6193</v>
      </c>
      <c r="N640">
        <v>2.5</v>
      </c>
      <c r="O640">
        <v>25.874999999999996</v>
      </c>
      <c r="P640">
        <v>1.0349999999999999</v>
      </c>
      <c r="Q640">
        <v>2.3287499999999994</v>
      </c>
      <c r="R640" s="5">
        <v>77.624999999999986</v>
      </c>
    </row>
    <row r="641" spans="1:18" x14ac:dyDescent="0.25">
      <c r="A641" t="s">
        <v>1249</v>
      </c>
      <c r="B641" s="7">
        <v>44331</v>
      </c>
      <c r="C641" t="str">
        <f>TEXT(Table3[[#This Row],[Order Date]],"yyyy")</f>
        <v>2021</v>
      </c>
      <c r="D641" t="s">
        <v>6233</v>
      </c>
      <c r="E641" t="s">
        <v>1250</v>
      </c>
      <c r="F641" t="s">
        <v>44</v>
      </c>
      <c r="G641">
        <v>1</v>
      </c>
      <c r="H641" t="s">
        <v>4727</v>
      </c>
      <c r="I641" t="s">
        <v>6210</v>
      </c>
      <c r="J641" t="s">
        <v>3138</v>
      </c>
      <c r="K641" t="s">
        <v>1938</v>
      </c>
      <c r="L641" t="s">
        <v>6199</v>
      </c>
      <c r="M641" t="s">
        <v>6195</v>
      </c>
      <c r="N641">
        <v>0.2</v>
      </c>
      <c r="O641">
        <v>3.8849999999999998</v>
      </c>
      <c r="P641">
        <v>1.9424999999999999</v>
      </c>
      <c r="Q641">
        <v>0.50505</v>
      </c>
      <c r="R641" s="5">
        <v>3.8849999999999998</v>
      </c>
    </row>
    <row r="642" spans="1:18" x14ac:dyDescent="0.25">
      <c r="A642" t="s">
        <v>1251</v>
      </c>
      <c r="B642" s="7">
        <v>44547</v>
      </c>
      <c r="C642" t="str">
        <f>TEXT(Table3[[#This Row],[Order Date]],"yyyy")</f>
        <v>2021</v>
      </c>
      <c r="D642" t="s">
        <v>6237</v>
      </c>
      <c r="E642" t="s">
        <v>1252</v>
      </c>
      <c r="F642" t="s">
        <v>16</v>
      </c>
      <c r="G642">
        <v>5</v>
      </c>
      <c r="H642" t="s">
        <v>4766</v>
      </c>
      <c r="I642" t="s">
        <v>6210</v>
      </c>
      <c r="J642" t="s">
        <v>2283</v>
      </c>
      <c r="K642" t="s">
        <v>1947</v>
      </c>
      <c r="L642" t="s">
        <v>6211</v>
      </c>
      <c r="M642" t="s">
        <v>6215</v>
      </c>
      <c r="N642">
        <v>2.5</v>
      </c>
      <c r="O642">
        <v>27.484999999999996</v>
      </c>
      <c r="P642">
        <v>1.0993999999999999</v>
      </c>
      <c r="Q642">
        <v>1.6490999999999998</v>
      </c>
      <c r="R642" s="5">
        <v>137.42499999999998</v>
      </c>
    </row>
    <row r="643" spans="1:18" x14ac:dyDescent="0.25">
      <c r="A643" t="s">
        <v>1253</v>
      </c>
      <c r="B643" s="7">
        <v>44448</v>
      </c>
      <c r="C643" t="str">
        <f>TEXT(Table3[[#This Row],[Order Date]],"yyyy")</f>
        <v>2021</v>
      </c>
      <c r="D643" t="s">
        <v>6228</v>
      </c>
      <c r="E643" t="s">
        <v>1254</v>
      </c>
      <c r="F643" t="s">
        <v>195</v>
      </c>
      <c r="G643">
        <v>3</v>
      </c>
      <c r="H643" t="s">
        <v>4735</v>
      </c>
      <c r="I643" t="s">
        <v>6210</v>
      </c>
      <c r="J643" t="s">
        <v>4590</v>
      </c>
      <c r="K643" t="s">
        <v>1938</v>
      </c>
      <c r="L643" t="s">
        <v>6211</v>
      </c>
      <c r="M643" t="s">
        <v>6215</v>
      </c>
      <c r="N643">
        <v>1</v>
      </c>
      <c r="O643">
        <v>11.95</v>
      </c>
      <c r="P643">
        <v>1.1949999999999998</v>
      </c>
      <c r="Q643">
        <v>0.71699999999999997</v>
      </c>
      <c r="R643" s="5">
        <v>35.849999999999994</v>
      </c>
    </row>
    <row r="644" spans="1:18" x14ac:dyDescent="0.25">
      <c r="A644" t="s">
        <v>1255</v>
      </c>
      <c r="B644" s="7">
        <v>43880</v>
      </c>
      <c r="C644" t="str">
        <f>TEXT(Table3[[#This Row],[Order Date]],"yyyy")</f>
        <v>2020</v>
      </c>
      <c r="D644" t="s">
        <v>6238</v>
      </c>
      <c r="E644" t="s">
        <v>1256</v>
      </c>
      <c r="F644" t="s">
        <v>70</v>
      </c>
      <c r="G644">
        <v>2</v>
      </c>
      <c r="H644" t="s">
        <v>4739</v>
      </c>
      <c r="I644" t="s">
        <v>2112</v>
      </c>
      <c r="J644" t="s">
        <v>4743</v>
      </c>
      <c r="K644" t="s">
        <v>1938</v>
      </c>
      <c r="L644" t="s">
        <v>6212</v>
      </c>
      <c r="M644" t="s">
        <v>6193</v>
      </c>
      <c r="N644">
        <v>0.2</v>
      </c>
      <c r="O644">
        <v>4.125</v>
      </c>
      <c r="P644">
        <v>2.0625</v>
      </c>
      <c r="Q644">
        <v>0.45374999999999999</v>
      </c>
      <c r="R644" s="5">
        <v>8.25</v>
      </c>
    </row>
    <row r="645" spans="1:18" x14ac:dyDescent="0.25">
      <c r="A645" t="s">
        <v>1257</v>
      </c>
      <c r="B645" s="7">
        <v>44011</v>
      </c>
      <c r="C645" t="str">
        <f>TEXT(Table3[[#This Row],[Order Date]],"yyyy")</f>
        <v>2020</v>
      </c>
      <c r="D645" t="s">
        <v>6229</v>
      </c>
      <c r="E645" t="s">
        <v>1258</v>
      </c>
      <c r="F645" t="s">
        <v>36</v>
      </c>
      <c r="G645">
        <v>3</v>
      </c>
      <c r="H645" t="s">
        <v>4745</v>
      </c>
      <c r="I645" t="s">
        <v>6210</v>
      </c>
      <c r="J645" t="s">
        <v>2321</v>
      </c>
      <c r="K645" t="s">
        <v>1938</v>
      </c>
      <c r="L645" t="s">
        <v>6212</v>
      </c>
      <c r="M645" t="s">
        <v>6215</v>
      </c>
      <c r="N645">
        <v>2.5</v>
      </c>
      <c r="O645">
        <v>34.154999999999994</v>
      </c>
      <c r="P645">
        <v>1.3661999999999999</v>
      </c>
      <c r="Q645">
        <v>3.7570499999999996</v>
      </c>
      <c r="R645" s="5">
        <v>102.46499999999997</v>
      </c>
    </row>
    <row r="646" spans="1:18" x14ac:dyDescent="0.25">
      <c r="A646" t="s">
        <v>1259</v>
      </c>
      <c r="B646" s="7">
        <v>44694</v>
      </c>
      <c r="C646" t="str">
        <f>TEXT(Table3[[#This Row],[Order Date]],"yyyy")</f>
        <v>2022</v>
      </c>
      <c r="D646" t="s">
        <v>6233</v>
      </c>
      <c r="E646" t="s">
        <v>1260</v>
      </c>
      <c r="F646" t="s">
        <v>41</v>
      </c>
      <c r="G646">
        <v>2</v>
      </c>
      <c r="H646" t="s">
        <v>4748</v>
      </c>
      <c r="I646" t="s">
        <v>6210</v>
      </c>
      <c r="J646" t="s">
        <v>3576</v>
      </c>
      <c r="K646" t="s">
        <v>1947</v>
      </c>
      <c r="L646" t="s">
        <v>6211</v>
      </c>
      <c r="M646" t="s">
        <v>6195</v>
      </c>
      <c r="N646">
        <v>2.5</v>
      </c>
      <c r="O646">
        <v>20.584999999999997</v>
      </c>
      <c r="P646">
        <v>0.82339999999999991</v>
      </c>
      <c r="Q646">
        <v>1.2350999999999999</v>
      </c>
      <c r="R646" s="5">
        <v>41.169999999999995</v>
      </c>
    </row>
    <row r="647" spans="1:18" x14ac:dyDescent="0.25">
      <c r="A647" t="s">
        <v>1261</v>
      </c>
      <c r="B647" s="7">
        <v>44106</v>
      </c>
      <c r="C647" t="str">
        <f>TEXT(Table3[[#This Row],[Order Date]],"yyyy")</f>
        <v>2020</v>
      </c>
      <c r="D647" t="s">
        <v>6235</v>
      </c>
      <c r="E647" t="s">
        <v>1262</v>
      </c>
      <c r="F647" t="s">
        <v>124</v>
      </c>
      <c r="G647">
        <v>3</v>
      </c>
      <c r="H647" t="s">
        <v>4751</v>
      </c>
      <c r="I647" t="s">
        <v>6210</v>
      </c>
      <c r="J647" t="s">
        <v>4755</v>
      </c>
      <c r="K647" t="s">
        <v>1938</v>
      </c>
      <c r="L647" t="s">
        <v>6213</v>
      </c>
      <c r="M647" t="s">
        <v>6195</v>
      </c>
      <c r="N647">
        <v>2.5</v>
      </c>
      <c r="O647">
        <v>22.884999999999998</v>
      </c>
      <c r="P647">
        <v>0.91539999999999988</v>
      </c>
      <c r="Q647">
        <v>2.0596499999999995</v>
      </c>
      <c r="R647" s="5">
        <v>68.655000000000001</v>
      </c>
    </row>
    <row r="648" spans="1:18" x14ac:dyDescent="0.25">
      <c r="A648" t="s">
        <v>1263</v>
      </c>
      <c r="B648" s="7">
        <v>44532</v>
      </c>
      <c r="C648" t="str">
        <f>TEXT(Table3[[#This Row],[Order Date]],"yyyy")</f>
        <v>2021</v>
      </c>
      <c r="D648" t="s">
        <v>6237</v>
      </c>
      <c r="E648" t="s">
        <v>1264</v>
      </c>
      <c r="F648" t="s">
        <v>33</v>
      </c>
      <c r="G648">
        <v>1</v>
      </c>
      <c r="H648" t="s">
        <v>4756</v>
      </c>
      <c r="I648" t="s">
        <v>6210</v>
      </c>
      <c r="J648" t="s">
        <v>2876</v>
      </c>
      <c r="K648" t="s">
        <v>1938</v>
      </c>
      <c r="L648" t="s">
        <v>6213</v>
      </c>
      <c r="M648" t="s">
        <v>6195</v>
      </c>
      <c r="N648">
        <v>1</v>
      </c>
      <c r="O648">
        <v>9.9499999999999993</v>
      </c>
      <c r="P648">
        <v>0.99499999999999988</v>
      </c>
      <c r="Q648">
        <v>0.89549999999999985</v>
      </c>
      <c r="R648" s="5">
        <v>9.9499999999999993</v>
      </c>
    </row>
    <row r="649" spans="1:18" x14ac:dyDescent="0.25">
      <c r="A649" t="s">
        <v>1265</v>
      </c>
      <c r="B649" s="7">
        <v>44502</v>
      </c>
      <c r="C649" t="str">
        <f>TEXT(Table3[[#This Row],[Order Date]],"yyyy")</f>
        <v>2021</v>
      </c>
      <c r="D649" t="s">
        <v>6239</v>
      </c>
      <c r="E649" t="s">
        <v>1266</v>
      </c>
      <c r="F649" t="s">
        <v>89</v>
      </c>
      <c r="G649">
        <v>3</v>
      </c>
      <c r="H649" t="s">
        <v>4760</v>
      </c>
      <c r="I649" t="s">
        <v>2112</v>
      </c>
      <c r="J649" t="s">
        <v>4764</v>
      </c>
      <c r="K649" t="s">
        <v>1938</v>
      </c>
      <c r="L649" t="s">
        <v>6199</v>
      </c>
      <c r="M649" t="s">
        <v>6215</v>
      </c>
      <c r="N649">
        <v>0.5</v>
      </c>
      <c r="O649">
        <v>9.51</v>
      </c>
      <c r="P649">
        <v>1.9019999999999999</v>
      </c>
      <c r="Q649">
        <v>1.2363</v>
      </c>
      <c r="R649" s="5">
        <v>28.53</v>
      </c>
    </row>
    <row r="650" spans="1:18" x14ac:dyDescent="0.25">
      <c r="A650" t="s">
        <v>1267</v>
      </c>
      <c r="B650" s="7">
        <v>43884</v>
      </c>
      <c r="C650" t="str">
        <f>TEXT(Table3[[#This Row],[Order Date]],"yyyy")</f>
        <v>2020</v>
      </c>
      <c r="D650" t="s">
        <v>6238</v>
      </c>
      <c r="E650" t="s">
        <v>1252</v>
      </c>
      <c r="F650" t="s">
        <v>107</v>
      </c>
      <c r="G650">
        <v>6</v>
      </c>
      <c r="H650" t="s">
        <v>4766</v>
      </c>
      <c r="I650" t="s">
        <v>6210</v>
      </c>
      <c r="J650" t="s">
        <v>2283</v>
      </c>
      <c r="K650" t="s">
        <v>1947</v>
      </c>
      <c r="L650" t="s">
        <v>6211</v>
      </c>
      <c r="M650" t="s">
        <v>6195</v>
      </c>
      <c r="N650">
        <v>0.2</v>
      </c>
      <c r="O650">
        <v>2.6849999999999996</v>
      </c>
      <c r="P650">
        <v>1.3424999999999998</v>
      </c>
      <c r="Q650">
        <v>0.16109999999999997</v>
      </c>
      <c r="R650" s="5">
        <v>16.11</v>
      </c>
    </row>
    <row r="651" spans="1:18" x14ac:dyDescent="0.25">
      <c r="A651" t="s">
        <v>1268</v>
      </c>
      <c r="B651" s="7">
        <v>44015</v>
      </c>
      <c r="C651" t="str">
        <f>TEXT(Table3[[#This Row],[Order Date]],"yyyy")</f>
        <v>2020</v>
      </c>
      <c r="D651" t="s">
        <v>6230</v>
      </c>
      <c r="E651" t="s">
        <v>1269</v>
      </c>
      <c r="F651" t="s">
        <v>138</v>
      </c>
      <c r="G651">
        <v>6</v>
      </c>
      <c r="H651" t="s">
        <v>4770</v>
      </c>
      <c r="I651" t="s">
        <v>2112</v>
      </c>
      <c r="J651" t="s">
        <v>4774</v>
      </c>
      <c r="K651" t="s">
        <v>1947</v>
      </c>
      <c r="L651" t="s">
        <v>6199</v>
      </c>
      <c r="M651" t="s">
        <v>6215</v>
      </c>
      <c r="N651">
        <v>1</v>
      </c>
      <c r="O651">
        <v>15.85</v>
      </c>
      <c r="P651">
        <v>1.585</v>
      </c>
      <c r="Q651">
        <v>2.0605000000000002</v>
      </c>
      <c r="R651" s="5">
        <v>95.1</v>
      </c>
    </row>
    <row r="652" spans="1:18" x14ac:dyDescent="0.25">
      <c r="A652" t="s">
        <v>1270</v>
      </c>
      <c r="B652" s="7">
        <v>43507</v>
      </c>
      <c r="C652" t="str">
        <f>TEXT(Table3[[#This Row],[Order Date]],"yyyy")</f>
        <v>2019</v>
      </c>
      <c r="D652" t="s">
        <v>6238</v>
      </c>
      <c r="E652" t="s">
        <v>1271</v>
      </c>
      <c r="F652" t="s">
        <v>152</v>
      </c>
      <c r="G652">
        <v>1</v>
      </c>
      <c r="H652" t="s">
        <v>4776</v>
      </c>
      <c r="I652" t="s">
        <v>6210</v>
      </c>
      <c r="J652" t="s">
        <v>2379</v>
      </c>
      <c r="K652" t="s">
        <v>1938</v>
      </c>
      <c r="L652" t="s">
        <v>6211</v>
      </c>
      <c r="M652" t="s">
        <v>6195</v>
      </c>
      <c r="N652">
        <v>0.5</v>
      </c>
      <c r="O652">
        <v>5.3699999999999992</v>
      </c>
      <c r="P652">
        <v>1.0739999999999998</v>
      </c>
      <c r="Q652">
        <v>0.32219999999999993</v>
      </c>
      <c r="R652" s="5">
        <v>5.3699999999999992</v>
      </c>
    </row>
    <row r="653" spans="1:18" x14ac:dyDescent="0.25">
      <c r="A653" t="s">
        <v>1272</v>
      </c>
      <c r="B653" s="7">
        <v>44084</v>
      </c>
      <c r="C653" t="str">
        <f>TEXT(Table3[[#This Row],[Order Date]],"yyyy")</f>
        <v>2020</v>
      </c>
      <c r="D653" t="s">
        <v>6228</v>
      </c>
      <c r="E653" t="s">
        <v>1273</v>
      </c>
      <c r="F653" t="s">
        <v>195</v>
      </c>
      <c r="G653">
        <v>4</v>
      </c>
      <c r="H653" t="s">
        <v>4780</v>
      </c>
      <c r="I653" t="s">
        <v>6210</v>
      </c>
      <c r="J653" t="s">
        <v>2182</v>
      </c>
      <c r="K653" t="s">
        <v>1947</v>
      </c>
      <c r="L653" t="s">
        <v>6211</v>
      </c>
      <c r="M653" t="s">
        <v>6215</v>
      </c>
      <c r="N653">
        <v>1</v>
      </c>
      <c r="O653">
        <v>11.95</v>
      </c>
      <c r="P653">
        <v>1.1949999999999998</v>
      </c>
      <c r="Q653">
        <v>0.71699999999999997</v>
      </c>
      <c r="R653" s="5">
        <v>47.8</v>
      </c>
    </row>
    <row r="654" spans="1:18" x14ac:dyDescent="0.25">
      <c r="A654" t="s">
        <v>1274</v>
      </c>
      <c r="B654" s="7">
        <v>43892</v>
      </c>
      <c r="C654" t="str">
        <f>TEXT(Table3[[#This Row],[Order Date]],"yyyy")</f>
        <v>2020</v>
      </c>
      <c r="D654" t="s">
        <v>6234</v>
      </c>
      <c r="E654" t="s">
        <v>1275</v>
      </c>
      <c r="F654" t="s">
        <v>138</v>
      </c>
      <c r="G654">
        <v>4</v>
      </c>
      <c r="H654" t="s">
        <v>4783</v>
      </c>
      <c r="I654" t="s">
        <v>1945</v>
      </c>
      <c r="J654" t="s">
        <v>4786</v>
      </c>
      <c r="K654" t="s">
        <v>1947</v>
      </c>
      <c r="L654" t="s">
        <v>6199</v>
      </c>
      <c r="M654" t="s">
        <v>6215</v>
      </c>
      <c r="N654">
        <v>1</v>
      </c>
      <c r="O654">
        <v>15.85</v>
      </c>
      <c r="P654">
        <v>1.585</v>
      </c>
      <c r="Q654">
        <v>2.0605000000000002</v>
      </c>
      <c r="R654" s="5">
        <v>63.4</v>
      </c>
    </row>
    <row r="655" spans="1:18" x14ac:dyDescent="0.25">
      <c r="A655" t="s">
        <v>1276</v>
      </c>
      <c r="B655" s="7">
        <v>44375</v>
      </c>
      <c r="C655" t="str">
        <f>TEXT(Table3[[#This Row],[Order Date]],"yyyy")</f>
        <v>2021</v>
      </c>
      <c r="D655" t="s">
        <v>6229</v>
      </c>
      <c r="E655" t="s">
        <v>1277</v>
      </c>
      <c r="F655" t="s">
        <v>177</v>
      </c>
      <c r="G655">
        <v>4</v>
      </c>
      <c r="H655" t="s">
        <v>4787</v>
      </c>
      <c r="I655" t="s">
        <v>6210</v>
      </c>
      <c r="J655" t="s">
        <v>2207</v>
      </c>
      <c r="K655" t="s">
        <v>1947</v>
      </c>
      <c r="L655" t="s">
        <v>6213</v>
      </c>
      <c r="M655" t="s">
        <v>6193</v>
      </c>
      <c r="N655">
        <v>2.5</v>
      </c>
      <c r="O655">
        <v>25.874999999999996</v>
      </c>
      <c r="P655">
        <v>1.0349999999999999</v>
      </c>
      <c r="Q655">
        <v>2.3287499999999994</v>
      </c>
      <c r="R655" s="5">
        <v>103.49999999999999</v>
      </c>
    </row>
    <row r="656" spans="1:18" x14ac:dyDescent="0.25">
      <c r="A656" t="s">
        <v>1278</v>
      </c>
      <c r="B656" s="7">
        <v>43476</v>
      </c>
      <c r="C656" t="str">
        <f>TEXT(Table3[[#This Row],[Order Date]],"yyyy")</f>
        <v>2019</v>
      </c>
      <c r="D656" t="s">
        <v>6232</v>
      </c>
      <c r="E656" t="s">
        <v>1279</v>
      </c>
      <c r="F656" t="s">
        <v>124</v>
      </c>
      <c r="G656">
        <v>3</v>
      </c>
      <c r="H656" t="s">
        <v>4791</v>
      </c>
      <c r="I656" t="s">
        <v>6210</v>
      </c>
      <c r="J656" t="s">
        <v>2182</v>
      </c>
      <c r="K656" t="s">
        <v>1947</v>
      </c>
      <c r="L656" t="s">
        <v>6213</v>
      </c>
      <c r="M656" t="s">
        <v>6195</v>
      </c>
      <c r="N656">
        <v>2.5</v>
      </c>
      <c r="O656">
        <v>22.884999999999998</v>
      </c>
      <c r="P656">
        <v>0.91539999999999988</v>
      </c>
      <c r="Q656">
        <v>2.0596499999999995</v>
      </c>
      <c r="R656" s="5">
        <v>68.655000000000001</v>
      </c>
    </row>
    <row r="657" spans="1:18" x14ac:dyDescent="0.25">
      <c r="A657" t="s">
        <v>1280</v>
      </c>
      <c r="B657" s="7">
        <v>43728</v>
      </c>
      <c r="C657" t="str">
        <f>TEXT(Table3[[#This Row],[Order Date]],"yyyy")</f>
        <v>2019</v>
      </c>
      <c r="D657" t="s">
        <v>6228</v>
      </c>
      <c r="E657" t="s">
        <v>1281</v>
      </c>
      <c r="F657" t="s">
        <v>47</v>
      </c>
      <c r="G657">
        <v>2</v>
      </c>
      <c r="H657" t="s">
        <v>4795</v>
      </c>
      <c r="I657" t="s">
        <v>6210</v>
      </c>
      <c r="J657" t="s">
        <v>4798</v>
      </c>
      <c r="K657" t="s">
        <v>1938</v>
      </c>
      <c r="L657" t="s">
        <v>6211</v>
      </c>
      <c r="M657" t="s">
        <v>6193</v>
      </c>
      <c r="N657">
        <v>2.5</v>
      </c>
      <c r="O657">
        <v>22.884999999999998</v>
      </c>
      <c r="P657">
        <v>0.91539999999999988</v>
      </c>
      <c r="Q657">
        <v>1.3730999999999998</v>
      </c>
      <c r="R657" s="5">
        <v>45.769999999999996</v>
      </c>
    </row>
    <row r="658" spans="1:18" x14ac:dyDescent="0.25">
      <c r="A658" t="s">
        <v>1282</v>
      </c>
      <c r="B658" s="7">
        <v>44485</v>
      </c>
      <c r="C658" t="str">
        <f>TEXT(Table3[[#This Row],[Order Date]],"yyyy")</f>
        <v>2021</v>
      </c>
      <c r="D658" t="s">
        <v>6235</v>
      </c>
      <c r="E658" t="s">
        <v>1283</v>
      </c>
      <c r="F658" t="s">
        <v>19</v>
      </c>
      <c r="G658">
        <v>4</v>
      </c>
      <c r="H658" t="s">
        <v>4799</v>
      </c>
      <c r="I658" t="s">
        <v>6210</v>
      </c>
      <c r="J658" t="s">
        <v>2089</v>
      </c>
      <c r="K658" t="s">
        <v>1947</v>
      </c>
      <c r="L658" t="s">
        <v>6199</v>
      </c>
      <c r="M658" t="s">
        <v>6195</v>
      </c>
      <c r="N658">
        <v>1</v>
      </c>
      <c r="O658">
        <v>12.95</v>
      </c>
      <c r="P658">
        <v>1.2949999999999999</v>
      </c>
      <c r="Q658">
        <v>1.6835</v>
      </c>
      <c r="R658" s="5">
        <v>51.8</v>
      </c>
    </row>
    <row r="659" spans="1:18" x14ac:dyDescent="0.25">
      <c r="A659" t="s">
        <v>1284</v>
      </c>
      <c r="B659" s="7">
        <v>43831</v>
      </c>
      <c r="C659" t="str">
        <f>TEXT(Table3[[#This Row],[Order Date]],"yyyy")</f>
        <v>2020</v>
      </c>
      <c r="D659" t="s">
        <v>6232</v>
      </c>
      <c r="E659" t="s">
        <v>1285</v>
      </c>
      <c r="F659" t="s">
        <v>73</v>
      </c>
      <c r="G659">
        <v>2</v>
      </c>
      <c r="H659" t="s">
        <v>4802</v>
      </c>
      <c r="I659" t="s">
        <v>6210</v>
      </c>
      <c r="J659" t="s">
        <v>4806</v>
      </c>
      <c r="K659" t="s">
        <v>1938</v>
      </c>
      <c r="L659" t="s">
        <v>6213</v>
      </c>
      <c r="M659" t="s">
        <v>6193</v>
      </c>
      <c r="N659">
        <v>0.5</v>
      </c>
      <c r="O659">
        <v>6.75</v>
      </c>
      <c r="P659">
        <v>1.35</v>
      </c>
      <c r="Q659">
        <v>0.60749999999999993</v>
      </c>
      <c r="R659" s="5">
        <v>13.5</v>
      </c>
    </row>
    <row r="660" spans="1:18" x14ac:dyDescent="0.25">
      <c r="A660" t="s">
        <v>1286</v>
      </c>
      <c r="B660" s="7">
        <v>44630</v>
      </c>
      <c r="C660" t="str">
        <f>TEXT(Table3[[#This Row],[Order Date]],"yyyy")</f>
        <v>2022</v>
      </c>
      <c r="D660" t="s">
        <v>6234</v>
      </c>
      <c r="E660" t="s">
        <v>1287</v>
      </c>
      <c r="F660" t="s">
        <v>9</v>
      </c>
      <c r="G660">
        <v>3</v>
      </c>
      <c r="H660" t="s">
        <v>4848</v>
      </c>
      <c r="I660" t="s">
        <v>6210</v>
      </c>
      <c r="J660" t="s">
        <v>4476</v>
      </c>
      <c r="K660" t="s">
        <v>1938</v>
      </c>
      <c r="L660" t="s">
        <v>6212</v>
      </c>
      <c r="M660" t="s">
        <v>6193</v>
      </c>
      <c r="N660">
        <v>0.5</v>
      </c>
      <c r="O660">
        <v>8.25</v>
      </c>
      <c r="P660">
        <v>1.65</v>
      </c>
      <c r="Q660">
        <v>0.90749999999999997</v>
      </c>
      <c r="R660" s="5">
        <v>24.75</v>
      </c>
    </row>
    <row r="661" spans="1:18" x14ac:dyDescent="0.25">
      <c r="A661" t="s">
        <v>1288</v>
      </c>
      <c r="B661" s="7">
        <v>44693</v>
      </c>
      <c r="C661" t="str">
        <f>TEXT(Table3[[#This Row],[Order Date]],"yyyy")</f>
        <v>2022</v>
      </c>
      <c r="D661" t="s">
        <v>6233</v>
      </c>
      <c r="E661" t="s">
        <v>1289</v>
      </c>
      <c r="F661" t="s">
        <v>124</v>
      </c>
      <c r="G661">
        <v>2</v>
      </c>
      <c r="H661" t="s">
        <v>4810</v>
      </c>
      <c r="I661" t="s">
        <v>1945</v>
      </c>
      <c r="J661" t="s">
        <v>4814</v>
      </c>
      <c r="K661" t="s">
        <v>1938</v>
      </c>
      <c r="L661" t="s">
        <v>6213</v>
      </c>
      <c r="M661" t="s">
        <v>6195</v>
      </c>
      <c r="N661">
        <v>2.5</v>
      </c>
      <c r="O661">
        <v>22.884999999999998</v>
      </c>
      <c r="P661">
        <v>0.91539999999999988</v>
      </c>
      <c r="Q661">
        <v>2.0596499999999995</v>
      </c>
      <c r="R661" s="5">
        <v>45.769999999999996</v>
      </c>
    </row>
    <row r="662" spans="1:18" x14ac:dyDescent="0.25">
      <c r="A662" t="s">
        <v>1290</v>
      </c>
      <c r="B662" s="7">
        <v>44084</v>
      </c>
      <c r="C662" t="str">
        <f>TEXT(Table3[[#This Row],[Order Date]],"yyyy")</f>
        <v>2020</v>
      </c>
      <c r="D662" t="s">
        <v>6228</v>
      </c>
      <c r="E662" t="s">
        <v>1291</v>
      </c>
      <c r="F662" t="s">
        <v>182</v>
      </c>
      <c r="G662">
        <v>6</v>
      </c>
      <c r="H662" t="s">
        <v>4815</v>
      </c>
      <c r="I662" t="s">
        <v>6210</v>
      </c>
      <c r="J662" t="s">
        <v>2795</v>
      </c>
      <c r="K662" t="s">
        <v>1947</v>
      </c>
      <c r="L662" t="s">
        <v>6212</v>
      </c>
      <c r="M662" t="s">
        <v>6215</v>
      </c>
      <c r="N662">
        <v>0.5</v>
      </c>
      <c r="O662">
        <v>8.91</v>
      </c>
      <c r="P662">
        <v>1.782</v>
      </c>
      <c r="Q662">
        <v>0.98009999999999997</v>
      </c>
      <c r="R662" s="5">
        <v>53.46</v>
      </c>
    </row>
    <row r="663" spans="1:18" x14ac:dyDescent="0.25">
      <c r="A663" t="s">
        <v>1292</v>
      </c>
      <c r="B663" s="7">
        <v>44485</v>
      </c>
      <c r="C663" t="str">
        <f>TEXT(Table3[[#This Row],[Order Date]],"yyyy")</f>
        <v>2021</v>
      </c>
      <c r="D663" t="s">
        <v>6235</v>
      </c>
      <c r="E663" t="s">
        <v>1293</v>
      </c>
      <c r="F663" t="s">
        <v>50</v>
      </c>
      <c r="G663">
        <v>6</v>
      </c>
      <c r="H663" t="s">
        <v>4819</v>
      </c>
      <c r="I663" t="s">
        <v>6210</v>
      </c>
      <c r="J663" t="s">
        <v>2023</v>
      </c>
      <c r="K663" t="s">
        <v>1938</v>
      </c>
      <c r="L663" t="s">
        <v>6213</v>
      </c>
      <c r="M663" t="s">
        <v>6193</v>
      </c>
      <c r="N663">
        <v>0.2</v>
      </c>
      <c r="O663">
        <v>3.375</v>
      </c>
      <c r="P663">
        <v>1.6875</v>
      </c>
      <c r="Q663">
        <v>0.30374999999999996</v>
      </c>
      <c r="R663" s="5">
        <v>20.25</v>
      </c>
    </row>
    <row r="664" spans="1:18" x14ac:dyDescent="0.25">
      <c r="A664" t="s">
        <v>1294</v>
      </c>
      <c r="B664" s="7">
        <v>44364</v>
      </c>
      <c r="C664" t="str">
        <f>TEXT(Table3[[#This Row],[Order Date]],"yyyy")</f>
        <v>2021</v>
      </c>
      <c r="D664" t="s">
        <v>6229</v>
      </c>
      <c r="E664" t="s">
        <v>1295</v>
      </c>
      <c r="F664" t="s">
        <v>115</v>
      </c>
      <c r="G664">
        <v>5</v>
      </c>
      <c r="H664" t="s">
        <v>4823</v>
      </c>
      <c r="I664" t="s">
        <v>6210</v>
      </c>
      <c r="J664" t="s">
        <v>4826</v>
      </c>
      <c r="K664" t="s">
        <v>1947</v>
      </c>
      <c r="L664" t="s">
        <v>6199</v>
      </c>
      <c r="M664" t="s">
        <v>6195</v>
      </c>
      <c r="N664">
        <v>2.5</v>
      </c>
      <c r="O664">
        <v>29.784999999999997</v>
      </c>
      <c r="P664">
        <v>1.1913999999999998</v>
      </c>
      <c r="Q664">
        <v>3.8720499999999998</v>
      </c>
      <c r="R664" s="5">
        <v>148.92499999999998</v>
      </c>
    </row>
    <row r="665" spans="1:18" x14ac:dyDescent="0.25">
      <c r="A665" t="s">
        <v>1296</v>
      </c>
      <c r="B665" s="7">
        <v>43554</v>
      </c>
      <c r="C665" t="str">
        <f>TEXT(Table3[[#This Row],[Order Date]],"yyyy")</f>
        <v>2019</v>
      </c>
      <c r="D665" t="s">
        <v>6234</v>
      </c>
      <c r="E665" t="s">
        <v>1297</v>
      </c>
      <c r="F665" t="s">
        <v>67</v>
      </c>
      <c r="G665">
        <v>6</v>
      </c>
      <c r="H665" t="s">
        <v>4827</v>
      </c>
      <c r="I665" t="s">
        <v>6210</v>
      </c>
      <c r="J665" t="s">
        <v>2118</v>
      </c>
      <c r="K665" t="s">
        <v>1947</v>
      </c>
      <c r="L665" t="s">
        <v>6213</v>
      </c>
      <c r="M665" t="s">
        <v>6193</v>
      </c>
      <c r="N665">
        <v>1</v>
      </c>
      <c r="O665">
        <v>11.25</v>
      </c>
      <c r="P665">
        <v>1.125</v>
      </c>
      <c r="Q665">
        <v>1.0125</v>
      </c>
      <c r="R665" s="5">
        <v>67.5</v>
      </c>
    </row>
    <row r="666" spans="1:18" x14ac:dyDescent="0.25">
      <c r="A666" t="s">
        <v>1298</v>
      </c>
      <c r="B666" s="7">
        <v>44549</v>
      </c>
      <c r="C666" t="str">
        <f>TEXT(Table3[[#This Row],[Order Date]],"yyyy")</f>
        <v>2021</v>
      </c>
      <c r="D666" t="s">
        <v>6237</v>
      </c>
      <c r="E666" t="s">
        <v>1299</v>
      </c>
      <c r="F666" t="s">
        <v>251</v>
      </c>
      <c r="G666">
        <v>6</v>
      </c>
      <c r="H666" t="s">
        <v>4830</v>
      </c>
      <c r="I666" t="s">
        <v>6210</v>
      </c>
      <c r="J666" t="s">
        <v>3138</v>
      </c>
      <c r="K666" t="s">
        <v>1947</v>
      </c>
      <c r="L666" t="s">
        <v>6212</v>
      </c>
      <c r="M666" t="s">
        <v>6195</v>
      </c>
      <c r="N666">
        <v>1</v>
      </c>
      <c r="O666">
        <v>12.15</v>
      </c>
      <c r="P666">
        <v>1.2150000000000001</v>
      </c>
      <c r="Q666">
        <v>1.3365</v>
      </c>
      <c r="R666" s="5">
        <v>72.900000000000006</v>
      </c>
    </row>
    <row r="667" spans="1:18" x14ac:dyDescent="0.25">
      <c r="A667" t="s">
        <v>1298</v>
      </c>
      <c r="B667" s="7">
        <v>44549</v>
      </c>
      <c r="C667" t="str">
        <f>TEXT(Table3[[#This Row],[Order Date]],"yyyy")</f>
        <v>2021</v>
      </c>
      <c r="D667" t="s">
        <v>6237</v>
      </c>
      <c r="E667" t="s">
        <v>1299</v>
      </c>
      <c r="F667" t="s">
        <v>44</v>
      </c>
      <c r="G667">
        <v>2</v>
      </c>
      <c r="H667" t="s">
        <v>4830</v>
      </c>
      <c r="I667" t="s">
        <v>6210</v>
      </c>
      <c r="J667" t="s">
        <v>3138</v>
      </c>
      <c r="K667" t="s">
        <v>1947</v>
      </c>
      <c r="L667" t="s">
        <v>6199</v>
      </c>
      <c r="M667" t="s">
        <v>6195</v>
      </c>
      <c r="N667">
        <v>0.2</v>
      </c>
      <c r="O667">
        <v>3.8849999999999998</v>
      </c>
      <c r="P667">
        <v>1.9424999999999999</v>
      </c>
      <c r="Q667">
        <v>0.50505</v>
      </c>
      <c r="R667" s="5">
        <v>7.77</v>
      </c>
    </row>
    <row r="668" spans="1:18" x14ac:dyDescent="0.25">
      <c r="A668" t="s">
        <v>1300</v>
      </c>
      <c r="B668" s="7">
        <v>43987</v>
      </c>
      <c r="C668" t="str">
        <f>TEXT(Table3[[#This Row],[Order Date]],"yyyy")</f>
        <v>2020</v>
      </c>
      <c r="D668" t="s">
        <v>6229</v>
      </c>
      <c r="E668" t="s">
        <v>1301</v>
      </c>
      <c r="F668" t="s">
        <v>124</v>
      </c>
      <c r="G668">
        <v>4</v>
      </c>
      <c r="H668" t="s">
        <v>4839</v>
      </c>
      <c r="I668" t="s">
        <v>6210</v>
      </c>
      <c r="J668" t="s">
        <v>2896</v>
      </c>
      <c r="K668" t="s">
        <v>1947</v>
      </c>
      <c r="L668" t="s">
        <v>6213</v>
      </c>
      <c r="M668" t="s">
        <v>6195</v>
      </c>
      <c r="N668">
        <v>2.5</v>
      </c>
      <c r="O668">
        <v>22.884999999999998</v>
      </c>
      <c r="P668">
        <v>0.91539999999999988</v>
      </c>
      <c r="Q668">
        <v>2.0596499999999995</v>
      </c>
      <c r="R668" s="5">
        <v>91.539999999999992</v>
      </c>
    </row>
    <row r="669" spans="1:18" x14ac:dyDescent="0.25">
      <c r="A669" t="s">
        <v>1302</v>
      </c>
      <c r="B669" s="7">
        <v>44451</v>
      </c>
      <c r="C669" t="str">
        <f>TEXT(Table3[[#This Row],[Order Date]],"yyyy")</f>
        <v>2021</v>
      </c>
      <c r="D669" t="s">
        <v>6228</v>
      </c>
      <c r="E669" t="s">
        <v>1303</v>
      </c>
      <c r="F669" t="s">
        <v>33</v>
      </c>
      <c r="G669">
        <v>6</v>
      </c>
      <c r="H669" t="s">
        <v>4843</v>
      </c>
      <c r="I669" t="s">
        <v>1945</v>
      </c>
      <c r="J669" t="s">
        <v>4847</v>
      </c>
      <c r="K669" t="s">
        <v>1947</v>
      </c>
      <c r="L669" t="s">
        <v>6213</v>
      </c>
      <c r="M669" t="s">
        <v>6195</v>
      </c>
      <c r="N669">
        <v>1</v>
      </c>
      <c r="O669">
        <v>9.9499999999999993</v>
      </c>
      <c r="P669">
        <v>0.99499999999999988</v>
      </c>
      <c r="Q669">
        <v>0.89549999999999985</v>
      </c>
      <c r="R669" s="5">
        <v>59.699999999999996</v>
      </c>
    </row>
    <row r="670" spans="1:18" x14ac:dyDescent="0.25">
      <c r="A670" t="s">
        <v>1304</v>
      </c>
      <c r="B670" s="7">
        <v>44636</v>
      </c>
      <c r="C670" t="str">
        <f>TEXT(Table3[[#This Row],[Order Date]],"yyyy")</f>
        <v>2022</v>
      </c>
      <c r="D670" t="s">
        <v>6234</v>
      </c>
      <c r="E670" t="s">
        <v>1287</v>
      </c>
      <c r="F670" t="s">
        <v>16</v>
      </c>
      <c r="G670">
        <v>5</v>
      </c>
      <c r="H670" t="s">
        <v>4848</v>
      </c>
      <c r="I670" t="s">
        <v>6210</v>
      </c>
      <c r="J670" t="s">
        <v>4476</v>
      </c>
      <c r="K670" t="s">
        <v>1938</v>
      </c>
      <c r="L670" t="s">
        <v>6211</v>
      </c>
      <c r="M670" t="s">
        <v>6215</v>
      </c>
      <c r="N670">
        <v>2.5</v>
      </c>
      <c r="O670">
        <v>27.484999999999996</v>
      </c>
      <c r="P670">
        <v>1.0993999999999999</v>
      </c>
      <c r="Q670">
        <v>1.6490999999999998</v>
      </c>
      <c r="R670" s="5">
        <v>137.42499999999998</v>
      </c>
    </row>
    <row r="671" spans="1:18" x14ac:dyDescent="0.25">
      <c r="A671" t="s">
        <v>1305</v>
      </c>
      <c r="B671" s="7">
        <v>44551</v>
      </c>
      <c r="C671" t="str">
        <f>TEXT(Table3[[#This Row],[Order Date]],"yyyy")</f>
        <v>2021</v>
      </c>
      <c r="D671" t="s">
        <v>6237</v>
      </c>
      <c r="E671" t="s">
        <v>1306</v>
      </c>
      <c r="F671" t="s">
        <v>203</v>
      </c>
      <c r="G671">
        <v>2</v>
      </c>
      <c r="H671" t="s">
        <v>4852</v>
      </c>
      <c r="I671" t="s">
        <v>6210</v>
      </c>
      <c r="J671" t="s">
        <v>4856</v>
      </c>
      <c r="K671" t="s">
        <v>1947</v>
      </c>
      <c r="L671" t="s">
        <v>6199</v>
      </c>
      <c r="M671" t="s">
        <v>6193</v>
      </c>
      <c r="N671">
        <v>2.5</v>
      </c>
      <c r="O671">
        <v>33.464999999999996</v>
      </c>
      <c r="P671">
        <v>1.3385999999999998</v>
      </c>
      <c r="Q671">
        <v>4.3504499999999995</v>
      </c>
      <c r="R671" s="5">
        <v>66.929999999999993</v>
      </c>
    </row>
    <row r="672" spans="1:18" x14ac:dyDescent="0.25">
      <c r="A672" t="s">
        <v>1307</v>
      </c>
      <c r="B672" s="7">
        <v>43606</v>
      </c>
      <c r="C672" t="str">
        <f>TEXT(Table3[[#This Row],[Order Date]],"yyyy")</f>
        <v>2019</v>
      </c>
      <c r="D672" t="s">
        <v>6233</v>
      </c>
      <c r="E672" t="s">
        <v>1308</v>
      </c>
      <c r="F672" t="s">
        <v>83</v>
      </c>
      <c r="G672">
        <v>3</v>
      </c>
      <c r="H672" t="s">
        <v>4857</v>
      </c>
      <c r="I672" t="s">
        <v>6210</v>
      </c>
      <c r="J672" t="s">
        <v>4861</v>
      </c>
      <c r="K672" t="s">
        <v>1938</v>
      </c>
      <c r="L672" t="s">
        <v>6199</v>
      </c>
      <c r="M672" t="s">
        <v>6193</v>
      </c>
      <c r="N672">
        <v>0.2</v>
      </c>
      <c r="O672">
        <v>4.3650000000000002</v>
      </c>
      <c r="P672">
        <v>2.1825000000000001</v>
      </c>
      <c r="Q672">
        <v>0.56745000000000001</v>
      </c>
      <c r="R672" s="5">
        <v>13.095000000000001</v>
      </c>
    </row>
    <row r="673" spans="1:18" x14ac:dyDescent="0.25">
      <c r="A673" t="s">
        <v>1309</v>
      </c>
      <c r="B673" s="7">
        <v>44495</v>
      </c>
      <c r="C673" t="str">
        <f>TEXT(Table3[[#This Row],[Order Date]],"yyyy")</f>
        <v>2021</v>
      </c>
      <c r="D673" t="s">
        <v>6235</v>
      </c>
      <c r="E673" t="s">
        <v>1310</v>
      </c>
      <c r="F673" t="s">
        <v>195</v>
      </c>
      <c r="G673">
        <v>5</v>
      </c>
      <c r="H673" t="s">
        <v>4862</v>
      </c>
      <c r="I673" t="s">
        <v>6210</v>
      </c>
      <c r="J673" t="s">
        <v>3677</v>
      </c>
      <c r="K673" t="s">
        <v>1947</v>
      </c>
      <c r="L673" t="s">
        <v>6211</v>
      </c>
      <c r="M673" t="s">
        <v>6215</v>
      </c>
      <c r="N673">
        <v>1</v>
      </c>
      <c r="O673">
        <v>11.95</v>
      </c>
      <c r="P673">
        <v>1.1949999999999998</v>
      </c>
      <c r="Q673">
        <v>0.71699999999999997</v>
      </c>
      <c r="R673" s="5">
        <v>59.75</v>
      </c>
    </row>
    <row r="674" spans="1:18" x14ac:dyDescent="0.25">
      <c r="A674" t="s">
        <v>1311</v>
      </c>
      <c r="B674" s="7">
        <v>43916</v>
      </c>
      <c r="C674" t="str">
        <f>TEXT(Table3[[#This Row],[Order Date]],"yyyy")</f>
        <v>2020</v>
      </c>
      <c r="D674" t="s">
        <v>6234</v>
      </c>
      <c r="E674" t="s">
        <v>1312</v>
      </c>
      <c r="F674" t="s">
        <v>84</v>
      </c>
      <c r="G674">
        <v>5</v>
      </c>
      <c r="H674" t="s">
        <v>4866</v>
      </c>
      <c r="I674" t="s">
        <v>6210</v>
      </c>
      <c r="J674" t="s">
        <v>2023</v>
      </c>
      <c r="K674" t="s">
        <v>1938</v>
      </c>
      <c r="L674" t="s">
        <v>6199</v>
      </c>
      <c r="M674" t="s">
        <v>6193</v>
      </c>
      <c r="N674">
        <v>0.5</v>
      </c>
      <c r="O674">
        <v>8.73</v>
      </c>
      <c r="P674">
        <v>1.746</v>
      </c>
      <c r="Q674">
        <v>1.1349</v>
      </c>
      <c r="R674" s="5">
        <v>43.650000000000006</v>
      </c>
    </row>
    <row r="675" spans="1:18" x14ac:dyDescent="0.25">
      <c r="A675" t="s">
        <v>1313</v>
      </c>
      <c r="B675" s="7">
        <v>44118</v>
      </c>
      <c r="C675" t="str">
        <f>TEXT(Table3[[#This Row],[Order Date]],"yyyy")</f>
        <v>2020</v>
      </c>
      <c r="D675" t="s">
        <v>6235</v>
      </c>
      <c r="E675" t="s">
        <v>1314</v>
      </c>
      <c r="F675" t="s">
        <v>15</v>
      </c>
      <c r="G675">
        <v>6</v>
      </c>
      <c r="H675" t="s">
        <v>4869</v>
      </c>
      <c r="I675" t="s">
        <v>6210</v>
      </c>
      <c r="J675" t="s">
        <v>2371</v>
      </c>
      <c r="K675" t="s">
        <v>1938</v>
      </c>
      <c r="L675" t="s">
        <v>6212</v>
      </c>
      <c r="M675" t="s">
        <v>6193</v>
      </c>
      <c r="N675">
        <v>1</v>
      </c>
      <c r="O675">
        <v>13.75</v>
      </c>
      <c r="P675">
        <v>1.375</v>
      </c>
      <c r="Q675">
        <v>1.5125</v>
      </c>
      <c r="R675" s="5">
        <v>82.5</v>
      </c>
    </row>
    <row r="676" spans="1:18" x14ac:dyDescent="0.25">
      <c r="A676" t="s">
        <v>1315</v>
      </c>
      <c r="B676" s="7">
        <v>44543</v>
      </c>
      <c r="C676" t="str">
        <f>TEXT(Table3[[#This Row],[Order Date]],"yyyy")</f>
        <v>2021</v>
      </c>
      <c r="D676" t="s">
        <v>6237</v>
      </c>
      <c r="E676" t="s">
        <v>1316</v>
      </c>
      <c r="F676" t="s">
        <v>210</v>
      </c>
      <c r="G676">
        <v>6</v>
      </c>
      <c r="H676" t="s">
        <v>4873</v>
      </c>
      <c r="I676" t="s">
        <v>6210</v>
      </c>
      <c r="J676" t="s">
        <v>4877</v>
      </c>
      <c r="K676" t="s">
        <v>1938</v>
      </c>
      <c r="L676" t="s">
        <v>6213</v>
      </c>
      <c r="M676" t="s">
        <v>6215</v>
      </c>
      <c r="N676">
        <v>2.5</v>
      </c>
      <c r="O676">
        <v>29.784999999999997</v>
      </c>
      <c r="P676">
        <v>1.1913999999999998</v>
      </c>
      <c r="Q676">
        <v>2.6806499999999995</v>
      </c>
      <c r="R676" s="5">
        <v>178.70999999999998</v>
      </c>
    </row>
    <row r="677" spans="1:18" x14ac:dyDescent="0.25">
      <c r="A677" t="s">
        <v>1317</v>
      </c>
      <c r="B677" s="7">
        <v>44263</v>
      </c>
      <c r="C677" t="str">
        <f>TEXT(Table3[[#This Row],[Order Date]],"yyyy")</f>
        <v>2021</v>
      </c>
      <c r="D677" t="s">
        <v>6234</v>
      </c>
      <c r="E677" t="s">
        <v>1318</v>
      </c>
      <c r="F677" t="s">
        <v>115</v>
      </c>
      <c r="G677">
        <v>4</v>
      </c>
      <c r="H677" t="s">
        <v>4878</v>
      </c>
      <c r="I677" t="s">
        <v>6210</v>
      </c>
      <c r="J677" t="s">
        <v>4881</v>
      </c>
      <c r="K677" t="s">
        <v>1938</v>
      </c>
      <c r="L677" t="s">
        <v>6199</v>
      </c>
      <c r="M677" t="s">
        <v>6195</v>
      </c>
      <c r="N677">
        <v>2.5</v>
      </c>
      <c r="O677">
        <v>29.784999999999997</v>
      </c>
      <c r="P677">
        <v>1.1913999999999998</v>
      </c>
      <c r="Q677">
        <v>3.8720499999999998</v>
      </c>
      <c r="R677" s="5">
        <v>119.13999999999999</v>
      </c>
    </row>
    <row r="678" spans="1:18" x14ac:dyDescent="0.25">
      <c r="A678" t="s">
        <v>1319</v>
      </c>
      <c r="B678" s="7">
        <v>44217</v>
      </c>
      <c r="C678" t="str">
        <f>TEXT(Table3[[#This Row],[Order Date]],"yyyy")</f>
        <v>2021</v>
      </c>
      <c r="D678" t="s">
        <v>6232</v>
      </c>
      <c r="E678" t="s">
        <v>1320</v>
      </c>
      <c r="F678" t="s">
        <v>89</v>
      </c>
      <c r="G678">
        <v>5</v>
      </c>
      <c r="H678" t="s">
        <v>4882</v>
      </c>
      <c r="I678" t="s">
        <v>6210</v>
      </c>
      <c r="J678" t="s">
        <v>4885</v>
      </c>
      <c r="K678" t="s">
        <v>1947</v>
      </c>
      <c r="L678" t="s">
        <v>6199</v>
      </c>
      <c r="M678" t="s">
        <v>6215</v>
      </c>
      <c r="N678">
        <v>0.5</v>
      </c>
      <c r="O678">
        <v>9.51</v>
      </c>
      <c r="P678">
        <v>1.9019999999999999</v>
      </c>
      <c r="Q678">
        <v>1.2363</v>
      </c>
      <c r="R678" s="5">
        <v>47.55</v>
      </c>
    </row>
    <row r="679" spans="1:18" x14ac:dyDescent="0.25">
      <c r="A679" t="s">
        <v>1321</v>
      </c>
      <c r="B679" s="7">
        <v>44206</v>
      </c>
      <c r="C679" t="str">
        <f>TEXT(Table3[[#This Row],[Order Date]],"yyyy")</f>
        <v>2021</v>
      </c>
      <c r="D679" t="s">
        <v>6232</v>
      </c>
      <c r="E679" t="s">
        <v>1322</v>
      </c>
      <c r="F679" t="s">
        <v>84</v>
      </c>
      <c r="G679">
        <v>5</v>
      </c>
      <c r="H679" t="s">
        <v>4886</v>
      </c>
      <c r="I679" t="s">
        <v>1945</v>
      </c>
      <c r="J679" t="s">
        <v>3744</v>
      </c>
      <c r="K679" t="s">
        <v>1947</v>
      </c>
      <c r="L679" t="s">
        <v>6199</v>
      </c>
      <c r="M679" t="s">
        <v>6193</v>
      </c>
      <c r="N679">
        <v>0.5</v>
      </c>
      <c r="O679">
        <v>8.73</v>
      </c>
      <c r="P679">
        <v>1.746</v>
      </c>
      <c r="Q679">
        <v>1.1349</v>
      </c>
      <c r="R679" s="5">
        <v>43.650000000000006</v>
      </c>
    </row>
    <row r="680" spans="1:18" x14ac:dyDescent="0.25">
      <c r="A680" t="s">
        <v>1323</v>
      </c>
      <c r="B680" s="7">
        <v>44281</v>
      </c>
      <c r="C680" t="str">
        <f>TEXT(Table3[[#This Row],[Order Date]],"yyyy")</f>
        <v>2021</v>
      </c>
      <c r="D680" t="s">
        <v>6234</v>
      </c>
      <c r="E680" t="s">
        <v>1324</v>
      </c>
      <c r="F680" t="s">
        <v>210</v>
      </c>
      <c r="G680">
        <v>6</v>
      </c>
      <c r="H680" t="s">
        <v>4890</v>
      </c>
      <c r="I680" t="s">
        <v>6210</v>
      </c>
      <c r="J680" t="s">
        <v>4894</v>
      </c>
      <c r="K680" t="s">
        <v>1938</v>
      </c>
      <c r="L680" t="s">
        <v>6213</v>
      </c>
      <c r="M680" t="s">
        <v>6215</v>
      </c>
      <c r="N680">
        <v>2.5</v>
      </c>
      <c r="O680">
        <v>29.784999999999997</v>
      </c>
      <c r="P680">
        <v>1.1913999999999998</v>
      </c>
      <c r="Q680">
        <v>2.6806499999999995</v>
      </c>
      <c r="R680" s="5">
        <v>178.70999999999998</v>
      </c>
    </row>
    <row r="681" spans="1:18" x14ac:dyDescent="0.25">
      <c r="A681" t="s">
        <v>1325</v>
      </c>
      <c r="B681" s="7">
        <v>44645</v>
      </c>
      <c r="C681" t="str">
        <f>TEXT(Table3[[#This Row],[Order Date]],"yyyy")</f>
        <v>2022</v>
      </c>
      <c r="D681" t="s">
        <v>6234</v>
      </c>
      <c r="E681" t="s">
        <v>1326</v>
      </c>
      <c r="F681" t="s">
        <v>16</v>
      </c>
      <c r="G681">
        <v>1</v>
      </c>
      <c r="H681" t="s">
        <v>4895</v>
      </c>
      <c r="I681" t="s">
        <v>2112</v>
      </c>
      <c r="J681" t="s">
        <v>4764</v>
      </c>
      <c r="K681" t="s">
        <v>1947</v>
      </c>
      <c r="L681" t="s">
        <v>6211</v>
      </c>
      <c r="M681" t="s">
        <v>6215</v>
      </c>
      <c r="N681">
        <v>2.5</v>
      </c>
      <c r="O681">
        <v>27.484999999999996</v>
      </c>
      <c r="P681">
        <v>1.0993999999999999</v>
      </c>
      <c r="Q681">
        <v>1.6490999999999998</v>
      </c>
      <c r="R681" s="5">
        <v>27.484999999999996</v>
      </c>
    </row>
    <row r="682" spans="1:18" x14ac:dyDescent="0.25">
      <c r="A682" t="s">
        <v>1327</v>
      </c>
      <c r="B682" s="7">
        <v>44399</v>
      </c>
      <c r="C682" t="str">
        <f>TEXT(Table3[[#This Row],[Order Date]],"yyyy")</f>
        <v>2021</v>
      </c>
      <c r="D682" t="s">
        <v>6230</v>
      </c>
      <c r="E682" t="s">
        <v>1328</v>
      </c>
      <c r="F682" t="s">
        <v>67</v>
      </c>
      <c r="G682">
        <v>5</v>
      </c>
      <c r="H682" t="s">
        <v>4899</v>
      </c>
      <c r="I682" t="s">
        <v>6210</v>
      </c>
      <c r="J682" t="s">
        <v>3278</v>
      </c>
      <c r="K682" t="s">
        <v>1947</v>
      </c>
      <c r="L682" t="s">
        <v>6213</v>
      </c>
      <c r="M682" t="s">
        <v>6193</v>
      </c>
      <c r="N682">
        <v>1</v>
      </c>
      <c r="O682">
        <v>11.25</v>
      </c>
      <c r="P682">
        <v>1.125</v>
      </c>
      <c r="Q682">
        <v>1.0125</v>
      </c>
      <c r="R682" s="5">
        <v>56.25</v>
      </c>
    </row>
    <row r="683" spans="1:18" x14ac:dyDescent="0.25">
      <c r="A683" t="s">
        <v>1329</v>
      </c>
      <c r="B683" s="7">
        <v>44080</v>
      </c>
      <c r="C683" t="str">
        <f>TEXT(Table3[[#This Row],[Order Date]],"yyyy")</f>
        <v>2020</v>
      </c>
      <c r="D683" t="s">
        <v>6228</v>
      </c>
      <c r="E683" t="s">
        <v>1330</v>
      </c>
      <c r="F683" t="s">
        <v>25</v>
      </c>
      <c r="G683">
        <v>2</v>
      </c>
      <c r="H683" t="s">
        <v>4902</v>
      </c>
      <c r="I683" t="s">
        <v>2112</v>
      </c>
      <c r="J683" t="s">
        <v>2195</v>
      </c>
      <c r="K683" t="s">
        <v>1938</v>
      </c>
      <c r="L683" t="s">
        <v>6199</v>
      </c>
      <c r="M683" t="s">
        <v>6215</v>
      </c>
      <c r="N683">
        <v>0.2</v>
      </c>
      <c r="O683">
        <v>4.7549999999999999</v>
      </c>
      <c r="P683">
        <v>2.3774999999999999</v>
      </c>
      <c r="Q683">
        <v>0.61814999999999998</v>
      </c>
      <c r="R683" s="5">
        <v>9.51</v>
      </c>
    </row>
    <row r="684" spans="1:18" x14ac:dyDescent="0.25">
      <c r="A684" t="s">
        <v>1331</v>
      </c>
      <c r="B684" s="7">
        <v>43827</v>
      </c>
      <c r="C684" t="str">
        <f>TEXT(Table3[[#This Row],[Order Date]],"yyyy")</f>
        <v>2019</v>
      </c>
      <c r="D684" t="s">
        <v>6237</v>
      </c>
      <c r="E684" t="s">
        <v>1332</v>
      </c>
      <c r="F684" t="s">
        <v>70</v>
      </c>
      <c r="G684">
        <v>2</v>
      </c>
      <c r="H684" t="s">
        <v>4906</v>
      </c>
      <c r="I684" t="s">
        <v>6210</v>
      </c>
      <c r="J684" t="s">
        <v>3483</v>
      </c>
      <c r="K684" t="s">
        <v>1938</v>
      </c>
      <c r="L684" t="s">
        <v>6212</v>
      </c>
      <c r="M684" t="s">
        <v>6193</v>
      </c>
      <c r="N684">
        <v>0.2</v>
      </c>
      <c r="O684">
        <v>4.125</v>
      </c>
      <c r="P684">
        <v>2.0625</v>
      </c>
      <c r="Q684">
        <v>0.45374999999999999</v>
      </c>
      <c r="R684" s="5">
        <v>8.25</v>
      </c>
    </row>
    <row r="685" spans="1:18" x14ac:dyDescent="0.25">
      <c r="A685" t="s">
        <v>1333</v>
      </c>
      <c r="B685" s="7">
        <v>43941</v>
      </c>
      <c r="C685" t="str">
        <f>TEXT(Table3[[#This Row],[Order Date]],"yyyy")</f>
        <v>2020</v>
      </c>
      <c r="D685" t="s">
        <v>6236</v>
      </c>
      <c r="E685" t="s">
        <v>1334</v>
      </c>
      <c r="F685" t="s">
        <v>129</v>
      </c>
      <c r="G685">
        <v>6</v>
      </c>
      <c r="H685" t="s">
        <v>4910</v>
      </c>
      <c r="I685" t="s">
        <v>6210</v>
      </c>
      <c r="J685" t="s">
        <v>2023</v>
      </c>
      <c r="K685" t="s">
        <v>1947</v>
      </c>
      <c r="L685" t="s">
        <v>6199</v>
      </c>
      <c r="M685" t="s">
        <v>6195</v>
      </c>
      <c r="N685">
        <v>0.5</v>
      </c>
      <c r="O685">
        <v>7.77</v>
      </c>
      <c r="P685">
        <v>1.5539999999999998</v>
      </c>
      <c r="Q685">
        <v>1.0101</v>
      </c>
      <c r="R685" s="5">
        <v>46.62</v>
      </c>
    </row>
    <row r="686" spans="1:18" x14ac:dyDescent="0.25">
      <c r="A686" t="s">
        <v>1335</v>
      </c>
      <c r="B686" s="7">
        <v>43517</v>
      </c>
      <c r="C686" t="str">
        <f>TEXT(Table3[[#This Row],[Order Date]],"yyyy")</f>
        <v>2019</v>
      </c>
      <c r="D686" t="s">
        <v>6238</v>
      </c>
      <c r="E686" t="s">
        <v>1336</v>
      </c>
      <c r="F686" t="s">
        <v>195</v>
      </c>
      <c r="G686">
        <v>6</v>
      </c>
      <c r="H686" t="s">
        <v>4914</v>
      </c>
      <c r="I686" t="s">
        <v>6210</v>
      </c>
      <c r="J686" t="s">
        <v>2018</v>
      </c>
      <c r="K686" t="s">
        <v>1947</v>
      </c>
      <c r="L686" t="s">
        <v>6211</v>
      </c>
      <c r="M686" t="s">
        <v>6215</v>
      </c>
      <c r="N686">
        <v>1</v>
      </c>
      <c r="O686">
        <v>11.95</v>
      </c>
      <c r="P686">
        <v>1.1949999999999998</v>
      </c>
      <c r="Q686">
        <v>0.71699999999999997</v>
      </c>
      <c r="R686" s="5">
        <v>71.699999999999989</v>
      </c>
    </row>
    <row r="687" spans="1:18" x14ac:dyDescent="0.25">
      <c r="A687" t="s">
        <v>1337</v>
      </c>
      <c r="B687" s="7">
        <v>44637</v>
      </c>
      <c r="C687" t="str">
        <f>TEXT(Table3[[#This Row],[Order Date]],"yyyy")</f>
        <v>2022</v>
      </c>
      <c r="D687" t="s">
        <v>6234</v>
      </c>
      <c r="E687" t="s">
        <v>1338</v>
      </c>
      <c r="F687" t="s">
        <v>110</v>
      </c>
      <c r="G687">
        <v>2</v>
      </c>
      <c r="H687" t="s">
        <v>4917</v>
      </c>
      <c r="I687" t="s">
        <v>6210</v>
      </c>
      <c r="J687" t="s">
        <v>2942</v>
      </c>
      <c r="K687" t="s">
        <v>1938</v>
      </c>
      <c r="L687" t="s">
        <v>6199</v>
      </c>
      <c r="M687" t="s">
        <v>6215</v>
      </c>
      <c r="N687">
        <v>2.5</v>
      </c>
      <c r="O687">
        <v>36.454999999999998</v>
      </c>
      <c r="P687">
        <v>1.4581999999999999</v>
      </c>
      <c r="Q687">
        <v>4.7391499999999995</v>
      </c>
      <c r="R687" s="5">
        <v>72.91</v>
      </c>
    </row>
    <row r="688" spans="1:18" x14ac:dyDescent="0.25">
      <c r="A688" t="s">
        <v>1339</v>
      </c>
      <c r="B688" s="7">
        <v>44330</v>
      </c>
      <c r="C688" t="str">
        <f>TEXT(Table3[[#This Row],[Order Date]],"yyyy")</f>
        <v>2021</v>
      </c>
      <c r="D688" t="s">
        <v>6233</v>
      </c>
      <c r="E688" t="s">
        <v>1340</v>
      </c>
      <c r="F688" t="s">
        <v>107</v>
      </c>
      <c r="G688">
        <v>3</v>
      </c>
      <c r="H688" t="s">
        <v>4921</v>
      </c>
      <c r="I688" t="s">
        <v>6210</v>
      </c>
      <c r="J688" t="s">
        <v>2568</v>
      </c>
      <c r="K688" t="s">
        <v>1938</v>
      </c>
      <c r="L688" t="s">
        <v>6211</v>
      </c>
      <c r="M688" t="s">
        <v>6195</v>
      </c>
      <c r="N688">
        <v>0.2</v>
      </c>
      <c r="O688">
        <v>2.6849999999999996</v>
      </c>
      <c r="P688">
        <v>1.3424999999999998</v>
      </c>
      <c r="Q688">
        <v>0.16109999999999997</v>
      </c>
      <c r="R688" s="5">
        <v>8.0549999999999997</v>
      </c>
    </row>
    <row r="689" spans="1:18" x14ac:dyDescent="0.25">
      <c r="A689" t="s">
        <v>1341</v>
      </c>
      <c r="B689" s="7">
        <v>43471</v>
      </c>
      <c r="C689" t="str">
        <f>TEXT(Table3[[#This Row],[Order Date]],"yyyy")</f>
        <v>2019</v>
      </c>
      <c r="D689" t="s">
        <v>6232</v>
      </c>
      <c r="E689" t="s">
        <v>1342</v>
      </c>
      <c r="F689" t="s">
        <v>9</v>
      </c>
      <c r="G689">
        <v>2</v>
      </c>
      <c r="H689" t="s">
        <v>4925</v>
      </c>
      <c r="I689" t="s">
        <v>6210</v>
      </c>
      <c r="J689" t="s">
        <v>1991</v>
      </c>
      <c r="K689" t="s">
        <v>1947</v>
      </c>
      <c r="L689" t="s">
        <v>6212</v>
      </c>
      <c r="M689" t="s">
        <v>6193</v>
      </c>
      <c r="N689">
        <v>0.5</v>
      </c>
      <c r="O689">
        <v>8.25</v>
      </c>
      <c r="P689">
        <v>1.65</v>
      </c>
      <c r="Q689">
        <v>0.90749999999999997</v>
      </c>
      <c r="R689" s="5">
        <v>16.5</v>
      </c>
    </row>
    <row r="690" spans="1:18" x14ac:dyDescent="0.25">
      <c r="A690" t="s">
        <v>1343</v>
      </c>
      <c r="B690" s="7">
        <v>43579</v>
      </c>
      <c r="C690" t="str">
        <f>TEXT(Table3[[#This Row],[Order Date]],"yyyy")</f>
        <v>2019</v>
      </c>
      <c r="D690" t="s">
        <v>6236</v>
      </c>
      <c r="E690" t="s">
        <v>1344</v>
      </c>
      <c r="F690" t="s">
        <v>12</v>
      </c>
      <c r="G690">
        <v>5</v>
      </c>
      <c r="H690" t="s">
        <v>4929</v>
      </c>
      <c r="I690" t="s">
        <v>1945</v>
      </c>
      <c r="J690" t="s">
        <v>4933</v>
      </c>
      <c r="K690" t="s">
        <v>1947</v>
      </c>
      <c r="L690" t="s">
        <v>6213</v>
      </c>
      <c r="M690" t="s">
        <v>6215</v>
      </c>
      <c r="N690">
        <v>1</v>
      </c>
      <c r="O690">
        <v>12.95</v>
      </c>
      <c r="P690">
        <v>1.2949999999999999</v>
      </c>
      <c r="Q690">
        <v>1.1655</v>
      </c>
      <c r="R690" s="5">
        <v>64.75</v>
      </c>
    </row>
    <row r="691" spans="1:18" x14ac:dyDescent="0.25">
      <c r="A691" t="s">
        <v>1345</v>
      </c>
      <c r="B691" s="7">
        <v>44346</v>
      </c>
      <c r="C691" t="str">
        <f>TEXT(Table3[[#This Row],[Order Date]],"yyyy")</f>
        <v>2021</v>
      </c>
      <c r="D691" t="s">
        <v>6233</v>
      </c>
      <c r="E691" t="s">
        <v>1346</v>
      </c>
      <c r="F691" t="s">
        <v>73</v>
      </c>
      <c r="G691">
        <v>5</v>
      </c>
      <c r="H691" t="s">
        <v>4934</v>
      </c>
      <c r="I691" t="s">
        <v>6210</v>
      </c>
      <c r="J691" t="s">
        <v>2336</v>
      </c>
      <c r="K691" t="s">
        <v>1947</v>
      </c>
      <c r="L691" t="s">
        <v>6213</v>
      </c>
      <c r="M691" t="s">
        <v>6193</v>
      </c>
      <c r="N691">
        <v>0.5</v>
      </c>
      <c r="O691">
        <v>6.75</v>
      </c>
      <c r="P691">
        <v>1.35</v>
      </c>
      <c r="Q691">
        <v>0.60749999999999993</v>
      </c>
      <c r="R691" s="5">
        <v>33.75</v>
      </c>
    </row>
    <row r="692" spans="1:18" x14ac:dyDescent="0.25">
      <c r="A692" t="s">
        <v>1347</v>
      </c>
      <c r="B692" s="7">
        <v>44754</v>
      </c>
      <c r="C692" t="str">
        <f>TEXT(Table3[[#This Row],[Order Date]],"yyyy")</f>
        <v>2022</v>
      </c>
      <c r="D692" t="s">
        <v>6230</v>
      </c>
      <c r="E692" t="s">
        <v>1348</v>
      </c>
      <c r="F692" t="s">
        <v>115</v>
      </c>
      <c r="G692">
        <v>6</v>
      </c>
      <c r="H692" t="s">
        <v>4938</v>
      </c>
      <c r="I692" t="s">
        <v>6210</v>
      </c>
      <c r="J692" t="s">
        <v>2207</v>
      </c>
      <c r="K692" t="s">
        <v>1947</v>
      </c>
      <c r="L692" t="s">
        <v>6199</v>
      </c>
      <c r="M692" t="s">
        <v>6195</v>
      </c>
      <c r="N692">
        <v>2.5</v>
      </c>
      <c r="O692">
        <v>29.784999999999997</v>
      </c>
      <c r="P692">
        <v>1.1913999999999998</v>
      </c>
      <c r="Q692">
        <v>3.8720499999999998</v>
      </c>
      <c r="R692" s="5">
        <v>178.70999999999998</v>
      </c>
    </row>
    <row r="693" spans="1:18" x14ac:dyDescent="0.25">
      <c r="A693" t="s">
        <v>1349</v>
      </c>
      <c r="B693" s="7">
        <v>44227</v>
      </c>
      <c r="C693" t="str">
        <f>TEXT(Table3[[#This Row],[Order Date]],"yyyy")</f>
        <v>2021</v>
      </c>
      <c r="D693" t="s">
        <v>6232</v>
      </c>
      <c r="E693" t="s">
        <v>1350</v>
      </c>
      <c r="F693" t="s">
        <v>67</v>
      </c>
      <c r="G693">
        <v>2</v>
      </c>
      <c r="H693" t="s">
        <v>4970</v>
      </c>
      <c r="I693" t="s">
        <v>1945</v>
      </c>
      <c r="J693" t="s">
        <v>2362</v>
      </c>
      <c r="K693" t="s">
        <v>1947</v>
      </c>
      <c r="L693" t="s">
        <v>6213</v>
      </c>
      <c r="M693" t="s">
        <v>6193</v>
      </c>
      <c r="N693">
        <v>1</v>
      </c>
      <c r="O693">
        <v>11.25</v>
      </c>
      <c r="P693">
        <v>1.125</v>
      </c>
      <c r="Q693">
        <v>1.0125</v>
      </c>
      <c r="R693" s="5">
        <v>22.5</v>
      </c>
    </row>
    <row r="694" spans="1:18" x14ac:dyDescent="0.25">
      <c r="A694" t="s">
        <v>1351</v>
      </c>
      <c r="B694" s="7">
        <v>43720</v>
      </c>
      <c r="C694" t="str">
        <f>TEXT(Table3[[#This Row],[Order Date]],"yyyy")</f>
        <v>2019</v>
      </c>
      <c r="D694" t="s">
        <v>6228</v>
      </c>
      <c r="E694" t="s">
        <v>1352</v>
      </c>
      <c r="F694" t="s">
        <v>19</v>
      </c>
      <c r="G694">
        <v>1</v>
      </c>
      <c r="H694" t="s">
        <v>4945</v>
      </c>
      <c r="I694" t="s">
        <v>6210</v>
      </c>
      <c r="J694" t="s">
        <v>3032</v>
      </c>
      <c r="K694" t="s">
        <v>1947</v>
      </c>
      <c r="L694" t="s">
        <v>6199</v>
      </c>
      <c r="M694" t="s">
        <v>6195</v>
      </c>
      <c r="N694">
        <v>1</v>
      </c>
      <c r="O694">
        <v>12.95</v>
      </c>
      <c r="P694">
        <v>1.2949999999999999</v>
      </c>
      <c r="Q694">
        <v>1.6835</v>
      </c>
      <c r="R694" s="5">
        <v>12.95</v>
      </c>
    </row>
    <row r="695" spans="1:18" x14ac:dyDescent="0.25">
      <c r="A695" t="s">
        <v>1353</v>
      </c>
      <c r="B695" s="7">
        <v>44012</v>
      </c>
      <c r="C695" t="str">
        <f>TEXT(Table3[[#This Row],[Order Date]],"yyyy")</f>
        <v>2020</v>
      </c>
      <c r="D695" t="s">
        <v>6229</v>
      </c>
      <c r="E695" t="s">
        <v>1354</v>
      </c>
      <c r="F695" t="s">
        <v>177</v>
      </c>
      <c r="G695">
        <v>2</v>
      </c>
      <c r="H695" t="s">
        <v>4949</v>
      </c>
      <c r="I695" t="s">
        <v>6210</v>
      </c>
      <c r="J695" t="s">
        <v>2009</v>
      </c>
      <c r="K695" t="s">
        <v>1938</v>
      </c>
      <c r="L695" t="s">
        <v>6213</v>
      </c>
      <c r="M695" t="s">
        <v>6193</v>
      </c>
      <c r="N695">
        <v>2.5</v>
      </c>
      <c r="O695">
        <v>25.874999999999996</v>
      </c>
      <c r="P695">
        <v>1.0349999999999999</v>
      </c>
      <c r="Q695">
        <v>2.3287499999999994</v>
      </c>
      <c r="R695" s="5">
        <v>51.749999999999993</v>
      </c>
    </row>
    <row r="696" spans="1:18" x14ac:dyDescent="0.25">
      <c r="A696" t="s">
        <v>1355</v>
      </c>
      <c r="B696" s="7">
        <v>43915</v>
      </c>
      <c r="C696" t="str">
        <f>TEXT(Table3[[#This Row],[Order Date]],"yyyy")</f>
        <v>2020</v>
      </c>
      <c r="D696" t="s">
        <v>6234</v>
      </c>
      <c r="E696" t="s">
        <v>1356</v>
      </c>
      <c r="F696" t="s">
        <v>22</v>
      </c>
      <c r="G696">
        <v>5</v>
      </c>
      <c r="H696" t="s">
        <v>4953</v>
      </c>
      <c r="I696" t="s">
        <v>6210</v>
      </c>
      <c r="J696" t="s">
        <v>4957</v>
      </c>
      <c r="K696" t="s">
        <v>1947</v>
      </c>
      <c r="L696" t="s">
        <v>6212</v>
      </c>
      <c r="M696" t="s">
        <v>6195</v>
      </c>
      <c r="N696">
        <v>0.5</v>
      </c>
      <c r="O696">
        <v>7.29</v>
      </c>
      <c r="P696">
        <v>1.458</v>
      </c>
      <c r="Q696">
        <v>0.80190000000000006</v>
      </c>
      <c r="R696" s="5">
        <v>36.450000000000003</v>
      </c>
    </row>
    <row r="697" spans="1:18" x14ac:dyDescent="0.25">
      <c r="A697" t="s">
        <v>1357</v>
      </c>
      <c r="B697" s="7">
        <v>44300</v>
      </c>
      <c r="C697" t="str">
        <f>TEXT(Table3[[#This Row],[Order Date]],"yyyy")</f>
        <v>2021</v>
      </c>
      <c r="D697" t="s">
        <v>6236</v>
      </c>
      <c r="E697" t="s">
        <v>1358</v>
      </c>
      <c r="F697" t="s">
        <v>110</v>
      </c>
      <c r="G697">
        <v>5</v>
      </c>
      <c r="H697" t="s">
        <v>4958</v>
      </c>
      <c r="I697" t="s">
        <v>6210</v>
      </c>
      <c r="J697" t="s">
        <v>3311</v>
      </c>
      <c r="K697" t="s">
        <v>1938</v>
      </c>
      <c r="L697" t="s">
        <v>6199</v>
      </c>
      <c r="M697" t="s">
        <v>6215</v>
      </c>
      <c r="N697">
        <v>2.5</v>
      </c>
      <c r="O697">
        <v>36.454999999999998</v>
      </c>
      <c r="P697">
        <v>1.4581999999999999</v>
      </c>
      <c r="Q697">
        <v>4.7391499999999995</v>
      </c>
      <c r="R697" s="5">
        <v>182.27499999999998</v>
      </c>
    </row>
    <row r="698" spans="1:18" x14ac:dyDescent="0.25">
      <c r="A698" t="s">
        <v>1359</v>
      </c>
      <c r="B698" s="7">
        <v>43693</v>
      </c>
      <c r="C698" t="str">
        <f>TEXT(Table3[[#This Row],[Order Date]],"yyyy")</f>
        <v>2019</v>
      </c>
      <c r="D698" t="s">
        <v>6231</v>
      </c>
      <c r="E698" t="s">
        <v>1360</v>
      </c>
      <c r="F698" t="s">
        <v>129</v>
      </c>
      <c r="G698">
        <v>4</v>
      </c>
      <c r="H698" t="s">
        <v>4962</v>
      </c>
      <c r="I698" t="s">
        <v>6210</v>
      </c>
      <c r="J698" t="s">
        <v>3483</v>
      </c>
      <c r="K698" t="s">
        <v>1947</v>
      </c>
      <c r="L698" t="s">
        <v>6199</v>
      </c>
      <c r="M698" t="s">
        <v>6195</v>
      </c>
      <c r="N698">
        <v>0.5</v>
      </c>
      <c r="O698">
        <v>7.77</v>
      </c>
      <c r="P698">
        <v>1.5539999999999998</v>
      </c>
      <c r="Q698">
        <v>1.0101</v>
      </c>
      <c r="R698" s="5">
        <v>31.08</v>
      </c>
    </row>
    <row r="699" spans="1:18" x14ac:dyDescent="0.25">
      <c r="A699" t="s">
        <v>1361</v>
      </c>
      <c r="B699" s="7">
        <v>44547</v>
      </c>
      <c r="C699" t="str">
        <f>TEXT(Table3[[#This Row],[Order Date]],"yyyy")</f>
        <v>2021</v>
      </c>
      <c r="D699" t="s">
        <v>6237</v>
      </c>
      <c r="E699" t="s">
        <v>1362</v>
      </c>
      <c r="F699" t="s">
        <v>73</v>
      </c>
      <c r="G699">
        <v>3</v>
      </c>
      <c r="H699" t="s">
        <v>4966</v>
      </c>
      <c r="I699" t="s">
        <v>1945</v>
      </c>
      <c r="J699" t="s">
        <v>4968</v>
      </c>
      <c r="K699" t="s">
        <v>1947</v>
      </c>
      <c r="L699" t="s">
        <v>6213</v>
      </c>
      <c r="M699" t="s">
        <v>6193</v>
      </c>
      <c r="N699">
        <v>0.5</v>
      </c>
      <c r="O699">
        <v>6.75</v>
      </c>
      <c r="P699">
        <v>1.35</v>
      </c>
      <c r="Q699">
        <v>0.60749999999999993</v>
      </c>
      <c r="R699" s="5">
        <v>20.25</v>
      </c>
    </row>
    <row r="700" spans="1:18" x14ac:dyDescent="0.25">
      <c r="A700" t="s">
        <v>1363</v>
      </c>
      <c r="B700" s="7">
        <v>43830</v>
      </c>
      <c r="C700" t="str">
        <f>TEXT(Table3[[#This Row],[Order Date]],"yyyy")</f>
        <v>2019</v>
      </c>
      <c r="D700" t="s">
        <v>6237</v>
      </c>
      <c r="E700" t="s">
        <v>1350</v>
      </c>
      <c r="F700" t="s">
        <v>19</v>
      </c>
      <c r="G700">
        <v>2</v>
      </c>
      <c r="H700" t="s">
        <v>4970</v>
      </c>
      <c r="I700" t="s">
        <v>1945</v>
      </c>
      <c r="J700" t="s">
        <v>2362</v>
      </c>
      <c r="K700" t="s">
        <v>1947</v>
      </c>
      <c r="L700" t="s">
        <v>6199</v>
      </c>
      <c r="M700" t="s">
        <v>6195</v>
      </c>
      <c r="N700">
        <v>1</v>
      </c>
      <c r="O700">
        <v>12.95</v>
      </c>
      <c r="P700">
        <v>1.2949999999999999</v>
      </c>
      <c r="Q700">
        <v>1.6835</v>
      </c>
      <c r="R700" s="5">
        <v>25.9</v>
      </c>
    </row>
    <row r="701" spans="1:18" x14ac:dyDescent="0.25">
      <c r="A701" t="s">
        <v>1364</v>
      </c>
      <c r="B701" s="7">
        <v>44298</v>
      </c>
      <c r="C701" t="str">
        <f>TEXT(Table3[[#This Row],[Order Date]],"yyyy")</f>
        <v>2021</v>
      </c>
      <c r="D701" t="s">
        <v>6236</v>
      </c>
      <c r="E701" t="s">
        <v>1365</v>
      </c>
      <c r="F701" t="s">
        <v>78</v>
      </c>
      <c r="G701">
        <v>4</v>
      </c>
      <c r="H701" t="s">
        <v>4974</v>
      </c>
      <c r="I701" t="s">
        <v>6210</v>
      </c>
      <c r="J701" t="s">
        <v>3576</v>
      </c>
      <c r="K701" t="s">
        <v>1938</v>
      </c>
      <c r="L701" t="s">
        <v>6213</v>
      </c>
      <c r="M701" t="s">
        <v>6195</v>
      </c>
      <c r="N701">
        <v>0.5</v>
      </c>
      <c r="O701">
        <v>5.97</v>
      </c>
      <c r="P701">
        <v>1.194</v>
      </c>
      <c r="Q701">
        <v>0.5373</v>
      </c>
      <c r="R701" s="5">
        <v>23.88</v>
      </c>
    </row>
    <row r="702" spans="1:18" x14ac:dyDescent="0.25">
      <c r="A702" t="s">
        <v>1366</v>
      </c>
      <c r="B702" s="7">
        <v>43736</v>
      </c>
      <c r="C702" t="str">
        <f>TEXT(Table3[[#This Row],[Order Date]],"yyyy")</f>
        <v>2019</v>
      </c>
      <c r="D702" t="s">
        <v>6228</v>
      </c>
      <c r="E702" t="s">
        <v>1367</v>
      </c>
      <c r="F702" t="s">
        <v>89</v>
      </c>
      <c r="G702">
        <v>2</v>
      </c>
      <c r="H702" t="s">
        <v>4978</v>
      </c>
      <c r="I702" t="s">
        <v>6210</v>
      </c>
      <c r="J702" t="s">
        <v>3085</v>
      </c>
      <c r="K702" t="s">
        <v>1947</v>
      </c>
      <c r="L702" t="s">
        <v>6199</v>
      </c>
      <c r="M702" t="s">
        <v>6215</v>
      </c>
      <c r="N702">
        <v>0.5</v>
      </c>
      <c r="O702">
        <v>9.51</v>
      </c>
      <c r="P702">
        <v>1.9019999999999999</v>
      </c>
      <c r="Q702">
        <v>1.2363</v>
      </c>
      <c r="R702" s="5">
        <v>19.02</v>
      </c>
    </row>
    <row r="703" spans="1:18" x14ac:dyDescent="0.25">
      <c r="A703" t="s">
        <v>1368</v>
      </c>
      <c r="B703" s="7">
        <v>44727</v>
      </c>
      <c r="C703" t="str">
        <f>TEXT(Table3[[#This Row],[Order Date]],"yyyy")</f>
        <v>2022</v>
      </c>
      <c r="D703" t="s">
        <v>6229</v>
      </c>
      <c r="E703" t="s">
        <v>1369</v>
      </c>
      <c r="F703" t="s">
        <v>78</v>
      </c>
      <c r="G703">
        <v>5</v>
      </c>
      <c r="H703" t="s">
        <v>4981</v>
      </c>
      <c r="I703" t="s">
        <v>1945</v>
      </c>
      <c r="J703" t="s">
        <v>3397</v>
      </c>
      <c r="K703" t="s">
        <v>1938</v>
      </c>
      <c r="L703" t="s">
        <v>6213</v>
      </c>
      <c r="M703" t="s">
        <v>6195</v>
      </c>
      <c r="N703">
        <v>0.5</v>
      </c>
      <c r="O703">
        <v>5.97</v>
      </c>
      <c r="P703">
        <v>1.194</v>
      </c>
      <c r="Q703">
        <v>0.5373</v>
      </c>
      <c r="R703" s="5">
        <v>29.849999999999998</v>
      </c>
    </row>
    <row r="704" spans="1:18" x14ac:dyDescent="0.25">
      <c r="A704" t="s">
        <v>1370</v>
      </c>
      <c r="B704" s="7">
        <v>43661</v>
      </c>
      <c r="C704" t="str">
        <f>TEXT(Table3[[#This Row],[Order Date]],"yyyy")</f>
        <v>2019</v>
      </c>
      <c r="D704" t="s">
        <v>6230</v>
      </c>
      <c r="E704" t="s">
        <v>1371</v>
      </c>
      <c r="F704" t="s">
        <v>198</v>
      </c>
      <c r="G704">
        <v>1</v>
      </c>
      <c r="H704" t="s">
        <v>4985</v>
      </c>
      <c r="I704" t="s">
        <v>6210</v>
      </c>
      <c r="J704" t="s">
        <v>2049</v>
      </c>
      <c r="K704" t="s">
        <v>1938</v>
      </c>
      <c r="L704" t="s">
        <v>6213</v>
      </c>
      <c r="M704" t="s">
        <v>6215</v>
      </c>
      <c r="N704">
        <v>0.5</v>
      </c>
      <c r="O704">
        <v>7.77</v>
      </c>
      <c r="P704">
        <v>1.5539999999999998</v>
      </c>
      <c r="Q704">
        <v>0.69929999999999992</v>
      </c>
      <c r="R704" s="5">
        <v>7.77</v>
      </c>
    </row>
    <row r="705" spans="1:18" x14ac:dyDescent="0.25">
      <c r="A705" t="s">
        <v>1372</v>
      </c>
      <c r="B705" s="7">
        <v>43506</v>
      </c>
      <c r="C705" t="str">
        <f>TEXT(Table3[[#This Row],[Order Date]],"yyyy")</f>
        <v>2019</v>
      </c>
      <c r="D705" t="s">
        <v>6238</v>
      </c>
      <c r="E705" t="s">
        <v>1373</v>
      </c>
      <c r="F705" t="s">
        <v>115</v>
      </c>
      <c r="G705">
        <v>4</v>
      </c>
      <c r="H705" t="s">
        <v>4988</v>
      </c>
      <c r="I705" t="s">
        <v>1945</v>
      </c>
      <c r="J705" t="s">
        <v>2596</v>
      </c>
      <c r="K705" t="s">
        <v>1938</v>
      </c>
      <c r="L705" t="s">
        <v>6199</v>
      </c>
      <c r="M705" t="s">
        <v>6195</v>
      </c>
      <c r="N705">
        <v>2.5</v>
      </c>
      <c r="O705">
        <v>29.784999999999997</v>
      </c>
      <c r="P705">
        <v>1.1913999999999998</v>
      </c>
      <c r="Q705">
        <v>3.8720499999999998</v>
      </c>
      <c r="R705" s="5">
        <v>119.13999999999999</v>
      </c>
    </row>
    <row r="706" spans="1:18" x14ac:dyDescent="0.25">
      <c r="A706" t="s">
        <v>1374</v>
      </c>
      <c r="B706" s="7">
        <v>44716</v>
      </c>
      <c r="C706" t="str">
        <f>TEXT(Table3[[#This Row],[Order Date]],"yyyy")</f>
        <v>2022</v>
      </c>
      <c r="D706" t="s">
        <v>6229</v>
      </c>
      <c r="E706" t="s">
        <v>1375</v>
      </c>
      <c r="F706" t="s">
        <v>57</v>
      </c>
      <c r="G706">
        <v>6</v>
      </c>
      <c r="H706" t="s">
        <v>4991</v>
      </c>
      <c r="I706" t="s">
        <v>6210</v>
      </c>
      <c r="J706" t="s">
        <v>2033</v>
      </c>
      <c r="K706" t="s">
        <v>1938</v>
      </c>
      <c r="L706" t="s">
        <v>6212</v>
      </c>
      <c r="M706" t="s">
        <v>6195</v>
      </c>
      <c r="N706">
        <v>0.2</v>
      </c>
      <c r="O706">
        <v>3.645</v>
      </c>
      <c r="P706">
        <v>1.8225</v>
      </c>
      <c r="Q706">
        <v>0.40095000000000003</v>
      </c>
      <c r="R706" s="5">
        <v>21.87</v>
      </c>
    </row>
    <row r="707" spans="1:18" x14ac:dyDescent="0.25">
      <c r="A707" t="s">
        <v>1376</v>
      </c>
      <c r="B707" s="7">
        <v>44114</v>
      </c>
      <c r="C707" t="str">
        <f>TEXT(Table3[[#This Row],[Order Date]],"yyyy")</f>
        <v>2020</v>
      </c>
      <c r="D707" t="s">
        <v>6235</v>
      </c>
      <c r="E707" t="s">
        <v>1377</v>
      </c>
      <c r="F707" t="s">
        <v>182</v>
      </c>
      <c r="G707">
        <v>2</v>
      </c>
      <c r="H707" t="s">
        <v>4994</v>
      </c>
      <c r="I707" t="s">
        <v>6210</v>
      </c>
      <c r="J707" t="s">
        <v>2881</v>
      </c>
      <c r="K707" t="s">
        <v>1947</v>
      </c>
      <c r="L707" t="s">
        <v>6212</v>
      </c>
      <c r="M707" t="s">
        <v>6215</v>
      </c>
      <c r="N707">
        <v>0.5</v>
      </c>
      <c r="O707">
        <v>8.91</v>
      </c>
      <c r="P707">
        <v>1.782</v>
      </c>
      <c r="Q707">
        <v>0.98009999999999997</v>
      </c>
      <c r="R707" s="5">
        <v>17.82</v>
      </c>
    </row>
    <row r="708" spans="1:18" x14ac:dyDescent="0.25">
      <c r="A708" t="s">
        <v>1378</v>
      </c>
      <c r="B708" s="7">
        <v>44353</v>
      </c>
      <c r="C708" t="str">
        <f>TEXT(Table3[[#This Row],[Order Date]],"yyyy")</f>
        <v>2021</v>
      </c>
      <c r="D708" t="s">
        <v>6229</v>
      </c>
      <c r="E708" t="s">
        <v>1379</v>
      </c>
      <c r="F708" t="s">
        <v>70</v>
      </c>
      <c r="G708">
        <v>3</v>
      </c>
      <c r="H708" t="s">
        <v>4998</v>
      </c>
      <c r="I708" t="s">
        <v>6210</v>
      </c>
      <c r="J708" t="s">
        <v>5002</v>
      </c>
      <c r="K708" t="s">
        <v>1947</v>
      </c>
      <c r="L708" t="s">
        <v>6212</v>
      </c>
      <c r="M708" t="s">
        <v>6193</v>
      </c>
      <c r="N708">
        <v>0.2</v>
      </c>
      <c r="O708">
        <v>4.125</v>
      </c>
      <c r="P708">
        <v>2.0625</v>
      </c>
      <c r="Q708">
        <v>0.45374999999999999</v>
      </c>
      <c r="R708" s="5">
        <v>12.375</v>
      </c>
    </row>
    <row r="709" spans="1:18" x14ac:dyDescent="0.25">
      <c r="A709" t="s">
        <v>1380</v>
      </c>
      <c r="B709" s="7">
        <v>43540</v>
      </c>
      <c r="C709" t="str">
        <f>TEXT(Table3[[#This Row],[Order Date]],"yyyy")</f>
        <v>2019</v>
      </c>
      <c r="D709" t="s">
        <v>6234</v>
      </c>
      <c r="E709" t="s">
        <v>1381</v>
      </c>
      <c r="F709" t="s">
        <v>19</v>
      </c>
      <c r="G709">
        <v>2</v>
      </c>
      <c r="H709" t="s">
        <v>5003</v>
      </c>
      <c r="I709" t="s">
        <v>1945</v>
      </c>
      <c r="J709" t="s">
        <v>5006</v>
      </c>
      <c r="K709" t="s">
        <v>1947</v>
      </c>
      <c r="L709" t="s">
        <v>6199</v>
      </c>
      <c r="M709" t="s">
        <v>6195</v>
      </c>
      <c r="N709">
        <v>1</v>
      </c>
      <c r="O709">
        <v>12.95</v>
      </c>
      <c r="P709">
        <v>1.2949999999999999</v>
      </c>
      <c r="Q709">
        <v>1.6835</v>
      </c>
      <c r="R709" s="5">
        <v>25.9</v>
      </c>
    </row>
    <row r="710" spans="1:18" x14ac:dyDescent="0.25">
      <c r="A710" t="s">
        <v>1382</v>
      </c>
      <c r="B710" s="7">
        <v>43804</v>
      </c>
      <c r="C710" t="str">
        <f>TEXT(Table3[[#This Row],[Order Date]],"yyyy")</f>
        <v>2019</v>
      </c>
      <c r="D710" t="s">
        <v>6237</v>
      </c>
      <c r="E710" t="s">
        <v>1383</v>
      </c>
      <c r="F710" t="s">
        <v>73</v>
      </c>
      <c r="G710">
        <v>2</v>
      </c>
      <c r="H710" t="s">
        <v>5007</v>
      </c>
      <c r="I710" t="s">
        <v>6210</v>
      </c>
      <c r="J710" t="s">
        <v>2009</v>
      </c>
      <c r="K710" t="s">
        <v>1938</v>
      </c>
      <c r="L710" t="s">
        <v>6213</v>
      </c>
      <c r="M710" t="s">
        <v>6193</v>
      </c>
      <c r="N710">
        <v>0.5</v>
      </c>
      <c r="O710">
        <v>6.75</v>
      </c>
      <c r="P710">
        <v>1.35</v>
      </c>
      <c r="Q710">
        <v>0.60749999999999993</v>
      </c>
      <c r="R710" s="5">
        <v>13.5</v>
      </c>
    </row>
    <row r="711" spans="1:18" x14ac:dyDescent="0.25">
      <c r="A711" t="s">
        <v>1384</v>
      </c>
      <c r="B711" s="7">
        <v>43485</v>
      </c>
      <c r="C711" t="str">
        <f>TEXT(Table3[[#This Row],[Order Date]],"yyyy")</f>
        <v>2019</v>
      </c>
      <c r="D711" t="s">
        <v>6232</v>
      </c>
      <c r="E711" t="s">
        <v>1385</v>
      </c>
      <c r="F711" t="s">
        <v>182</v>
      </c>
      <c r="G711">
        <v>2</v>
      </c>
      <c r="H711" t="s">
        <v>5011</v>
      </c>
      <c r="I711" t="s">
        <v>6210</v>
      </c>
      <c r="J711" t="s">
        <v>2234</v>
      </c>
      <c r="K711" t="s">
        <v>1938</v>
      </c>
      <c r="L711" t="s">
        <v>6212</v>
      </c>
      <c r="M711" t="s">
        <v>6215</v>
      </c>
      <c r="N711">
        <v>0.5</v>
      </c>
      <c r="O711">
        <v>8.91</v>
      </c>
      <c r="P711">
        <v>1.782</v>
      </c>
      <c r="Q711">
        <v>0.98009999999999997</v>
      </c>
      <c r="R711" s="5">
        <v>17.82</v>
      </c>
    </row>
    <row r="712" spans="1:18" x14ac:dyDescent="0.25">
      <c r="A712" t="s">
        <v>1386</v>
      </c>
      <c r="B712" s="7">
        <v>44655</v>
      </c>
      <c r="C712" t="str">
        <f>TEXT(Table3[[#This Row],[Order Date]],"yyyy")</f>
        <v>2022</v>
      </c>
      <c r="D712" t="s">
        <v>6236</v>
      </c>
      <c r="E712" t="s">
        <v>1387</v>
      </c>
      <c r="F712" t="s">
        <v>9</v>
      </c>
      <c r="G712">
        <v>3</v>
      </c>
      <c r="H712" t="s">
        <v>5014</v>
      </c>
      <c r="I712" t="s">
        <v>6210</v>
      </c>
      <c r="J712" t="s">
        <v>5018</v>
      </c>
      <c r="K712" t="s">
        <v>1947</v>
      </c>
      <c r="L712" t="s">
        <v>6212</v>
      </c>
      <c r="M712" t="s">
        <v>6193</v>
      </c>
      <c r="N712">
        <v>0.5</v>
      </c>
      <c r="O712">
        <v>8.25</v>
      </c>
      <c r="P712">
        <v>1.65</v>
      </c>
      <c r="Q712">
        <v>0.90749999999999997</v>
      </c>
      <c r="R712" s="5">
        <v>24.75</v>
      </c>
    </row>
    <row r="713" spans="1:18" x14ac:dyDescent="0.25">
      <c r="A713" t="s">
        <v>1388</v>
      </c>
      <c r="B713" s="7">
        <v>44600</v>
      </c>
      <c r="C713" t="str">
        <f>TEXT(Table3[[#This Row],[Order Date]],"yyyy")</f>
        <v>2022</v>
      </c>
      <c r="D713" t="s">
        <v>6238</v>
      </c>
      <c r="E713" t="s">
        <v>1389</v>
      </c>
      <c r="F713" t="s">
        <v>168</v>
      </c>
      <c r="G713">
        <v>6</v>
      </c>
      <c r="H713" t="s">
        <v>5019</v>
      </c>
      <c r="I713" t="s">
        <v>6210</v>
      </c>
      <c r="J713" t="s">
        <v>5023</v>
      </c>
      <c r="K713" t="s">
        <v>1947</v>
      </c>
      <c r="L713" t="s">
        <v>6211</v>
      </c>
      <c r="M713" t="s">
        <v>6193</v>
      </c>
      <c r="N713">
        <v>0.2</v>
      </c>
      <c r="O713">
        <v>2.9849999999999999</v>
      </c>
      <c r="P713">
        <v>1.4924999999999999</v>
      </c>
      <c r="Q713">
        <v>0.17909999999999998</v>
      </c>
      <c r="R713" s="5">
        <v>17.91</v>
      </c>
    </row>
    <row r="714" spans="1:18" x14ac:dyDescent="0.25">
      <c r="A714" t="s">
        <v>1390</v>
      </c>
      <c r="B714" s="7">
        <v>43646</v>
      </c>
      <c r="C714" t="str">
        <f>TEXT(Table3[[#This Row],[Order Date]],"yyyy")</f>
        <v>2019</v>
      </c>
      <c r="D714" t="s">
        <v>6229</v>
      </c>
      <c r="E714" t="s">
        <v>1391</v>
      </c>
      <c r="F714" t="s">
        <v>9</v>
      </c>
      <c r="G714">
        <v>2</v>
      </c>
      <c r="H714" t="s">
        <v>5024</v>
      </c>
      <c r="I714" t="s">
        <v>2112</v>
      </c>
      <c r="J714" t="s">
        <v>3558</v>
      </c>
      <c r="K714" t="s">
        <v>1947</v>
      </c>
      <c r="L714" t="s">
        <v>6212</v>
      </c>
      <c r="M714" t="s">
        <v>6193</v>
      </c>
      <c r="N714">
        <v>0.5</v>
      </c>
      <c r="O714">
        <v>8.25</v>
      </c>
      <c r="P714">
        <v>1.65</v>
      </c>
      <c r="Q714">
        <v>0.90749999999999997</v>
      </c>
      <c r="R714" s="5">
        <v>16.5</v>
      </c>
    </row>
    <row r="715" spans="1:18" x14ac:dyDescent="0.25">
      <c r="A715" t="s">
        <v>1392</v>
      </c>
      <c r="B715" s="7">
        <v>43960</v>
      </c>
      <c r="C715" t="str">
        <f>TEXT(Table3[[#This Row],[Order Date]],"yyyy")</f>
        <v>2020</v>
      </c>
      <c r="D715" t="s">
        <v>6233</v>
      </c>
      <c r="E715" t="s">
        <v>1393</v>
      </c>
      <c r="F715" t="s">
        <v>168</v>
      </c>
      <c r="G715">
        <v>1</v>
      </c>
      <c r="H715" t="s">
        <v>5026</v>
      </c>
      <c r="I715" t="s">
        <v>6210</v>
      </c>
      <c r="J715" t="s">
        <v>2415</v>
      </c>
      <c r="K715" t="s">
        <v>1947</v>
      </c>
      <c r="L715" t="s">
        <v>6211</v>
      </c>
      <c r="M715" t="s">
        <v>6193</v>
      </c>
      <c r="N715">
        <v>0.2</v>
      </c>
      <c r="O715">
        <v>2.9849999999999999</v>
      </c>
      <c r="P715">
        <v>1.4924999999999999</v>
      </c>
      <c r="Q715">
        <v>0.17909999999999998</v>
      </c>
      <c r="R715" s="5">
        <v>2.9849999999999999</v>
      </c>
    </row>
    <row r="716" spans="1:18" x14ac:dyDescent="0.25">
      <c r="A716" t="s">
        <v>1394</v>
      </c>
      <c r="B716" s="7">
        <v>44358</v>
      </c>
      <c r="C716" t="str">
        <f>TEXT(Table3[[#This Row],[Order Date]],"yyyy")</f>
        <v>2021</v>
      </c>
      <c r="D716" t="s">
        <v>6229</v>
      </c>
      <c r="E716" t="s">
        <v>1395</v>
      </c>
      <c r="F716" t="s">
        <v>57</v>
      </c>
      <c r="G716">
        <v>4</v>
      </c>
      <c r="H716" t="s">
        <v>5030</v>
      </c>
      <c r="I716" t="s">
        <v>1945</v>
      </c>
      <c r="J716" t="s">
        <v>5034</v>
      </c>
      <c r="K716" t="s">
        <v>1938</v>
      </c>
      <c r="L716" t="s">
        <v>6212</v>
      </c>
      <c r="M716" t="s">
        <v>6195</v>
      </c>
      <c r="N716">
        <v>0.2</v>
      </c>
      <c r="O716">
        <v>3.645</v>
      </c>
      <c r="P716">
        <v>1.8225</v>
      </c>
      <c r="Q716">
        <v>0.40095000000000003</v>
      </c>
      <c r="R716" s="5">
        <v>14.58</v>
      </c>
    </row>
    <row r="717" spans="1:18" x14ac:dyDescent="0.25">
      <c r="A717" t="s">
        <v>1396</v>
      </c>
      <c r="B717" s="7">
        <v>44504</v>
      </c>
      <c r="C717" t="str">
        <f>TEXT(Table3[[#This Row],[Order Date]],"yyyy")</f>
        <v>2021</v>
      </c>
      <c r="D717" t="s">
        <v>6239</v>
      </c>
      <c r="E717" t="s">
        <v>1397</v>
      </c>
      <c r="F717" t="s">
        <v>143</v>
      </c>
      <c r="G717">
        <v>6</v>
      </c>
      <c r="H717" t="s">
        <v>5035</v>
      </c>
      <c r="I717" t="s">
        <v>6210</v>
      </c>
      <c r="J717" t="s">
        <v>2216</v>
      </c>
      <c r="K717" t="s">
        <v>1947</v>
      </c>
      <c r="L717" t="s">
        <v>6212</v>
      </c>
      <c r="M717" t="s">
        <v>6215</v>
      </c>
      <c r="N717">
        <v>1</v>
      </c>
      <c r="O717">
        <v>14.85</v>
      </c>
      <c r="P717">
        <v>1.4849999999999999</v>
      </c>
      <c r="Q717">
        <v>1.6335</v>
      </c>
      <c r="R717" s="5">
        <v>89.1</v>
      </c>
    </row>
    <row r="718" spans="1:18" x14ac:dyDescent="0.25">
      <c r="A718" t="s">
        <v>1398</v>
      </c>
      <c r="B718" s="7">
        <v>44612</v>
      </c>
      <c r="C718" t="str">
        <f>TEXT(Table3[[#This Row],[Order Date]],"yyyy")</f>
        <v>2022</v>
      </c>
      <c r="D718" t="s">
        <v>6238</v>
      </c>
      <c r="E718" t="s">
        <v>1350</v>
      </c>
      <c r="F718" t="s">
        <v>195</v>
      </c>
      <c r="G718">
        <v>3</v>
      </c>
      <c r="H718" t="s">
        <v>4970</v>
      </c>
      <c r="I718" t="s">
        <v>1945</v>
      </c>
      <c r="J718" t="s">
        <v>2362</v>
      </c>
      <c r="K718" t="s">
        <v>1947</v>
      </c>
      <c r="L718" t="s">
        <v>6211</v>
      </c>
      <c r="M718" t="s">
        <v>6215</v>
      </c>
      <c r="N718">
        <v>1</v>
      </c>
      <c r="O718">
        <v>11.95</v>
      </c>
      <c r="P718">
        <v>1.1949999999999998</v>
      </c>
      <c r="Q718">
        <v>0.71699999999999997</v>
      </c>
      <c r="R718" s="5">
        <v>35.849999999999994</v>
      </c>
    </row>
    <row r="719" spans="1:18" x14ac:dyDescent="0.25">
      <c r="A719" t="s">
        <v>1399</v>
      </c>
      <c r="B719" s="7">
        <v>43649</v>
      </c>
      <c r="C719" t="str">
        <f>TEXT(Table3[[#This Row],[Order Date]],"yyyy")</f>
        <v>2019</v>
      </c>
      <c r="D719" t="s">
        <v>6230</v>
      </c>
      <c r="E719" t="s">
        <v>1400</v>
      </c>
      <c r="F719" t="s">
        <v>124</v>
      </c>
      <c r="G719">
        <v>3</v>
      </c>
      <c r="H719" t="s">
        <v>5043</v>
      </c>
      <c r="I719" t="s">
        <v>6210</v>
      </c>
      <c r="J719" t="s">
        <v>2013</v>
      </c>
      <c r="K719" t="s">
        <v>1947</v>
      </c>
      <c r="L719" t="s">
        <v>6213</v>
      </c>
      <c r="M719" t="s">
        <v>6195</v>
      </c>
      <c r="N719">
        <v>2.5</v>
      </c>
      <c r="O719">
        <v>22.884999999999998</v>
      </c>
      <c r="P719">
        <v>0.91539999999999988</v>
      </c>
      <c r="Q719">
        <v>2.0596499999999995</v>
      </c>
      <c r="R719" s="5">
        <v>68.655000000000001</v>
      </c>
    </row>
    <row r="720" spans="1:18" x14ac:dyDescent="0.25">
      <c r="A720" t="s">
        <v>1401</v>
      </c>
      <c r="B720" s="7">
        <v>44348</v>
      </c>
      <c r="C720" t="str">
        <f>TEXT(Table3[[#This Row],[Order Date]],"yyyy")</f>
        <v>2021</v>
      </c>
      <c r="D720" t="s">
        <v>6229</v>
      </c>
      <c r="E720" t="s">
        <v>1402</v>
      </c>
      <c r="F720" t="s">
        <v>19</v>
      </c>
      <c r="G720">
        <v>3</v>
      </c>
      <c r="H720" t="s">
        <v>5047</v>
      </c>
      <c r="I720" t="s">
        <v>6210</v>
      </c>
      <c r="J720" t="s">
        <v>4755</v>
      </c>
      <c r="K720" t="s">
        <v>1947</v>
      </c>
      <c r="L720" t="s">
        <v>6199</v>
      </c>
      <c r="M720" t="s">
        <v>6195</v>
      </c>
      <c r="N720">
        <v>1</v>
      </c>
      <c r="O720">
        <v>12.95</v>
      </c>
      <c r="P720">
        <v>1.2949999999999999</v>
      </c>
      <c r="Q720">
        <v>1.6835</v>
      </c>
      <c r="R720" s="5">
        <v>38.849999999999994</v>
      </c>
    </row>
    <row r="721" spans="1:18" x14ac:dyDescent="0.25">
      <c r="A721" t="s">
        <v>1403</v>
      </c>
      <c r="B721" s="7">
        <v>44150</v>
      </c>
      <c r="C721" t="str">
        <f>TEXT(Table3[[#This Row],[Order Date]],"yyyy")</f>
        <v>2020</v>
      </c>
      <c r="D721" t="s">
        <v>6239</v>
      </c>
      <c r="E721" t="s">
        <v>1404</v>
      </c>
      <c r="F721" t="s">
        <v>138</v>
      </c>
      <c r="G721">
        <v>5</v>
      </c>
      <c r="H721" t="s">
        <v>5051</v>
      </c>
      <c r="I721" t="s">
        <v>6210</v>
      </c>
      <c r="J721" t="s">
        <v>1982</v>
      </c>
      <c r="K721" t="s">
        <v>1938</v>
      </c>
      <c r="L721" t="s">
        <v>6199</v>
      </c>
      <c r="M721" t="s">
        <v>6215</v>
      </c>
      <c r="N721">
        <v>1</v>
      </c>
      <c r="O721">
        <v>15.85</v>
      </c>
      <c r="P721">
        <v>1.585</v>
      </c>
      <c r="Q721">
        <v>2.0605000000000002</v>
      </c>
      <c r="R721" s="5">
        <v>79.25</v>
      </c>
    </row>
    <row r="722" spans="1:18" x14ac:dyDescent="0.25">
      <c r="A722" t="s">
        <v>1405</v>
      </c>
      <c r="B722" s="7">
        <v>44215</v>
      </c>
      <c r="C722" t="str">
        <f>TEXT(Table3[[#This Row],[Order Date]],"yyyy")</f>
        <v>2021</v>
      </c>
      <c r="D722" t="s">
        <v>6232</v>
      </c>
      <c r="E722" t="s">
        <v>1406</v>
      </c>
      <c r="F722" t="s">
        <v>22</v>
      </c>
      <c r="G722">
        <v>5</v>
      </c>
      <c r="H722" t="s">
        <v>5055</v>
      </c>
      <c r="I722" t="s">
        <v>6210</v>
      </c>
      <c r="J722" t="s">
        <v>2795</v>
      </c>
      <c r="K722" t="s">
        <v>1938</v>
      </c>
      <c r="L722" t="s">
        <v>6212</v>
      </c>
      <c r="M722" t="s">
        <v>6195</v>
      </c>
      <c r="N722">
        <v>0.5</v>
      </c>
      <c r="O722">
        <v>7.29</v>
      </c>
      <c r="P722">
        <v>1.458</v>
      </c>
      <c r="Q722">
        <v>0.80190000000000006</v>
      </c>
      <c r="R722" s="5">
        <v>36.450000000000003</v>
      </c>
    </row>
    <row r="723" spans="1:18" x14ac:dyDescent="0.25">
      <c r="A723" t="s">
        <v>1407</v>
      </c>
      <c r="B723" s="7">
        <v>44479</v>
      </c>
      <c r="C723" t="str">
        <f>TEXT(Table3[[#This Row],[Order Date]],"yyyy")</f>
        <v>2021</v>
      </c>
      <c r="D723" t="s">
        <v>6235</v>
      </c>
      <c r="E723" t="s">
        <v>1408</v>
      </c>
      <c r="F723" t="s">
        <v>168</v>
      </c>
      <c r="G723">
        <v>3</v>
      </c>
      <c r="H723" t="s">
        <v>5059</v>
      </c>
      <c r="I723" t="s">
        <v>6210</v>
      </c>
      <c r="J723" t="s">
        <v>2709</v>
      </c>
      <c r="K723" t="s">
        <v>1938</v>
      </c>
      <c r="L723" t="s">
        <v>6211</v>
      </c>
      <c r="M723" t="s">
        <v>6193</v>
      </c>
      <c r="N723">
        <v>0.2</v>
      </c>
      <c r="O723">
        <v>2.9849999999999999</v>
      </c>
      <c r="P723">
        <v>1.4924999999999999</v>
      </c>
      <c r="Q723">
        <v>0.17909999999999998</v>
      </c>
      <c r="R723" s="5">
        <v>8.9550000000000001</v>
      </c>
    </row>
    <row r="724" spans="1:18" x14ac:dyDescent="0.25">
      <c r="A724" t="s">
        <v>1409</v>
      </c>
      <c r="B724" s="7">
        <v>44620</v>
      </c>
      <c r="C724" t="str">
        <f>TEXT(Table3[[#This Row],[Order Date]],"yyyy")</f>
        <v>2022</v>
      </c>
      <c r="D724" t="s">
        <v>6238</v>
      </c>
      <c r="E724" t="s">
        <v>1410</v>
      </c>
      <c r="F724" t="s">
        <v>251</v>
      </c>
      <c r="G724">
        <v>2</v>
      </c>
      <c r="H724" t="s">
        <v>5063</v>
      </c>
      <c r="I724" t="s">
        <v>6210</v>
      </c>
      <c r="J724" t="s">
        <v>2753</v>
      </c>
      <c r="K724" t="s">
        <v>1947</v>
      </c>
      <c r="L724" t="s">
        <v>6212</v>
      </c>
      <c r="M724" t="s">
        <v>6195</v>
      </c>
      <c r="N724">
        <v>1</v>
      </c>
      <c r="O724">
        <v>12.15</v>
      </c>
      <c r="P724">
        <v>1.2150000000000001</v>
      </c>
      <c r="Q724">
        <v>1.3365</v>
      </c>
      <c r="R724" s="5">
        <v>24.3</v>
      </c>
    </row>
    <row r="725" spans="1:18" x14ac:dyDescent="0.25">
      <c r="A725" t="s">
        <v>1411</v>
      </c>
      <c r="B725" s="7">
        <v>44470</v>
      </c>
      <c r="C725" t="str">
        <f>TEXT(Table3[[#This Row],[Order Date]],"yyyy")</f>
        <v>2021</v>
      </c>
      <c r="D725" t="s">
        <v>6235</v>
      </c>
      <c r="E725" t="s">
        <v>1412</v>
      </c>
      <c r="F725" t="s">
        <v>118</v>
      </c>
      <c r="G725">
        <v>2</v>
      </c>
      <c r="H725" t="s">
        <v>5066</v>
      </c>
      <c r="I725" t="s">
        <v>6210</v>
      </c>
      <c r="J725" t="s">
        <v>2351</v>
      </c>
      <c r="K725" t="s">
        <v>1947</v>
      </c>
      <c r="L725" t="s">
        <v>6212</v>
      </c>
      <c r="M725" t="s">
        <v>6193</v>
      </c>
      <c r="N725">
        <v>2.5</v>
      </c>
      <c r="O725">
        <v>31.624999999999996</v>
      </c>
      <c r="P725">
        <v>1.2649999999999999</v>
      </c>
      <c r="Q725">
        <v>3.4787499999999998</v>
      </c>
      <c r="R725" s="5">
        <v>63.249999999999993</v>
      </c>
    </row>
    <row r="726" spans="1:18" x14ac:dyDescent="0.25">
      <c r="A726" t="s">
        <v>1413</v>
      </c>
      <c r="B726" s="7">
        <v>44076</v>
      </c>
      <c r="C726" t="str">
        <f>TEXT(Table3[[#This Row],[Order Date]],"yyyy")</f>
        <v>2020</v>
      </c>
      <c r="D726" t="s">
        <v>6228</v>
      </c>
      <c r="E726" t="s">
        <v>1414</v>
      </c>
      <c r="F726" t="s">
        <v>50</v>
      </c>
      <c r="G726">
        <v>2</v>
      </c>
      <c r="H726" t="s">
        <v>5070</v>
      </c>
      <c r="I726" t="s">
        <v>6210</v>
      </c>
      <c r="J726" t="s">
        <v>2033</v>
      </c>
      <c r="K726" t="s">
        <v>1938</v>
      </c>
      <c r="L726" t="s">
        <v>6213</v>
      </c>
      <c r="M726" t="s">
        <v>6193</v>
      </c>
      <c r="N726">
        <v>0.2</v>
      </c>
      <c r="O726">
        <v>3.375</v>
      </c>
      <c r="P726">
        <v>1.6875</v>
      </c>
      <c r="Q726">
        <v>0.30374999999999996</v>
      </c>
      <c r="R726" s="5">
        <v>6.75</v>
      </c>
    </row>
    <row r="727" spans="1:18" x14ac:dyDescent="0.25">
      <c r="A727" t="s">
        <v>1415</v>
      </c>
      <c r="B727" s="7">
        <v>44043</v>
      </c>
      <c r="C727" t="str">
        <f>TEXT(Table3[[#This Row],[Order Date]],"yyyy")</f>
        <v>2020</v>
      </c>
      <c r="D727" t="s">
        <v>6230</v>
      </c>
      <c r="E727" t="s">
        <v>1416</v>
      </c>
      <c r="F727" t="s">
        <v>121</v>
      </c>
      <c r="G727">
        <v>6</v>
      </c>
      <c r="H727" t="s">
        <v>5073</v>
      </c>
      <c r="I727" t="s">
        <v>6210</v>
      </c>
      <c r="J727" t="s">
        <v>2336</v>
      </c>
      <c r="K727" t="s">
        <v>1947</v>
      </c>
      <c r="L727" t="s">
        <v>6213</v>
      </c>
      <c r="M727" t="s">
        <v>6215</v>
      </c>
      <c r="N727">
        <v>0.2</v>
      </c>
      <c r="O727">
        <v>3.8849999999999998</v>
      </c>
      <c r="P727">
        <v>1.9424999999999999</v>
      </c>
      <c r="Q727">
        <v>0.34964999999999996</v>
      </c>
      <c r="R727" s="5">
        <v>23.31</v>
      </c>
    </row>
    <row r="728" spans="1:18" x14ac:dyDescent="0.25">
      <c r="A728" t="s">
        <v>1417</v>
      </c>
      <c r="B728" s="7">
        <v>44571</v>
      </c>
      <c r="C728" t="str">
        <f>TEXT(Table3[[#This Row],[Order Date]],"yyyy")</f>
        <v>2022</v>
      </c>
      <c r="D728" t="s">
        <v>6232</v>
      </c>
      <c r="E728" t="s">
        <v>1418</v>
      </c>
      <c r="F728" t="s">
        <v>110</v>
      </c>
      <c r="G728">
        <v>4</v>
      </c>
      <c r="H728" t="s">
        <v>5077</v>
      </c>
      <c r="I728" t="s">
        <v>6210</v>
      </c>
      <c r="J728" t="s">
        <v>5080</v>
      </c>
      <c r="K728" t="s">
        <v>1947</v>
      </c>
      <c r="L728" t="s">
        <v>6199</v>
      </c>
      <c r="M728" t="s">
        <v>6215</v>
      </c>
      <c r="N728">
        <v>2.5</v>
      </c>
      <c r="O728">
        <v>36.454999999999998</v>
      </c>
      <c r="P728">
        <v>1.4581999999999999</v>
      </c>
      <c r="Q728">
        <v>4.7391499999999995</v>
      </c>
      <c r="R728" s="5">
        <v>145.82</v>
      </c>
    </row>
    <row r="729" spans="1:18" x14ac:dyDescent="0.25">
      <c r="A729" t="s">
        <v>1419</v>
      </c>
      <c r="B729" s="7">
        <v>44264</v>
      </c>
      <c r="C729" t="str">
        <f>TEXT(Table3[[#This Row],[Order Date]],"yyyy")</f>
        <v>2021</v>
      </c>
      <c r="D729" t="s">
        <v>6234</v>
      </c>
      <c r="E729" t="s">
        <v>1420</v>
      </c>
      <c r="F729" t="s">
        <v>28</v>
      </c>
      <c r="G729">
        <v>5</v>
      </c>
      <c r="H729" t="s">
        <v>5081</v>
      </c>
      <c r="I729" t="s">
        <v>1945</v>
      </c>
      <c r="J729" t="s">
        <v>5085</v>
      </c>
      <c r="K729" t="s">
        <v>1938</v>
      </c>
      <c r="L729" t="s">
        <v>6211</v>
      </c>
      <c r="M729" t="s">
        <v>6193</v>
      </c>
      <c r="N729">
        <v>0.5</v>
      </c>
      <c r="O729">
        <v>5.97</v>
      </c>
      <c r="P729">
        <v>1.194</v>
      </c>
      <c r="Q729">
        <v>0.35819999999999996</v>
      </c>
      <c r="R729" s="5">
        <v>29.849999999999998</v>
      </c>
    </row>
    <row r="730" spans="1:18" x14ac:dyDescent="0.25">
      <c r="A730" t="s">
        <v>1421</v>
      </c>
      <c r="B730" s="7">
        <v>44155</v>
      </c>
      <c r="C730" t="str">
        <f>TEXT(Table3[[#This Row],[Order Date]],"yyyy")</f>
        <v>2020</v>
      </c>
      <c r="D730" t="s">
        <v>6239</v>
      </c>
      <c r="E730" t="s">
        <v>1422</v>
      </c>
      <c r="F730" t="s">
        <v>22</v>
      </c>
      <c r="G730">
        <v>3</v>
      </c>
      <c r="H730" t="s">
        <v>5087</v>
      </c>
      <c r="I730" t="s">
        <v>6210</v>
      </c>
      <c r="J730" t="s">
        <v>2366</v>
      </c>
      <c r="K730" t="s">
        <v>1938</v>
      </c>
      <c r="L730" t="s">
        <v>6212</v>
      </c>
      <c r="M730" t="s">
        <v>6195</v>
      </c>
      <c r="N730">
        <v>0.5</v>
      </c>
      <c r="O730">
        <v>7.29</v>
      </c>
      <c r="P730">
        <v>1.458</v>
      </c>
      <c r="Q730">
        <v>0.80190000000000006</v>
      </c>
      <c r="R730" s="5">
        <v>21.87</v>
      </c>
    </row>
    <row r="731" spans="1:18" x14ac:dyDescent="0.25">
      <c r="A731" t="s">
        <v>1423</v>
      </c>
      <c r="B731" s="7">
        <v>44634</v>
      </c>
      <c r="C731" t="str">
        <f>TEXT(Table3[[#This Row],[Order Date]],"yyyy")</f>
        <v>2022</v>
      </c>
      <c r="D731" t="s">
        <v>6234</v>
      </c>
      <c r="E731" t="s">
        <v>1424</v>
      </c>
      <c r="F731" t="s">
        <v>83</v>
      </c>
      <c r="G731">
        <v>1</v>
      </c>
      <c r="H731" t="s">
        <v>5091</v>
      </c>
      <c r="I731" t="s">
        <v>2112</v>
      </c>
      <c r="J731" t="s">
        <v>2111</v>
      </c>
      <c r="K731" t="s">
        <v>1947</v>
      </c>
      <c r="L731" t="s">
        <v>6199</v>
      </c>
      <c r="M731" t="s">
        <v>6193</v>
      </c>
      <c r="N731">
        <v>0.2</v>
      </c>
      <c r="O731">
        <v>4.3650000000000002</v>
      </c>
      <c r="P731">
        <v>2.1825000000000001</v>
      </c>
      <c r="Q731">
        <v>0.56745000000000001</v>
      </c>
      <c r="R731" s="5">
        <v>4.3650000000000002</v>
      </c>
    </row>
    <row r="732" spans="1:18" x14ac:dyDescent="0.25">
      <c r="A732" t="s">
        <v>1425</v>
      </c>
      <c r="B732" s="7">
        <v>43475</v>
      </c>
      <c r="C732" t="str">
        <f>TEXT(Table3[[#This Row],[Order Date]],"yyyy")</f>
        <v>2019</v>
      </c>
      <c r="D732" t="s">
        <v>6232</v>
      </c>
      <c r="E732" t="s">
        <v>1426</v>
      </c>
      <c r="F732" t="s">
        <v>110</v>
      </c>
      <c r="G732">
        <v>1</v>
      </c>
      <c r="H732" t="s">
        <v>5095</v>
      </c>
      <c r="I732" t="s">
        <v>6210</v>
      </c>
      <c r="J732" t="s">
        <v>3365</v>
      </c>
      <c r="K732" t="s">
        <v>1947</v>
      </c>
      <c r="L732" t="s">
        <v>6199</v>
      </c>
      <c r="M732" t="s">
        <v>6215</v>
      </c>
      <c r="N732">
        <v>2.5</v>
      </c>
      <c r="O732">
        <v>36.454999999999998</v>
      </c>
      <c r="P732">
        <v>1.4581999999999999</v>
      </c>
      <c r="Q732">
        <v>4.7391499999999995</v>
      </c>
      <c r="R732" s="5">
        <v>36.454999999999998</v>
      </c>
    </row>
    <row r="733" spans="1:18" x14ac:dyDescent="0.25">
      <c r="A733" t="s">
        <v>1427</v>
      </c>
      <c r="B733" s="7">
        <v>44222</v>
      </c>
      <c r="C733" t="str">
        <f>TEXT(Table3[[#This Row],[Order Date]],"yyyy")</f>
        <v>2021</v>
      </c>
      <c r="D733" t="s">
        <v>6232</v>
      </c>
      <c r="E733" t="s">
        <v>1428</v>
      </c>
      <c r="F733" t="s">
        <v>44</v>
      </c>
      <c r="G733">
        <v>4</v>
      </c>
      <c r="H733" t="s">
        <v>5099</v>
      </c>
      <c r="I733" t="s">
        <v>6210</v>
      </c>
      <c r="J733" t="s">
        <v>5102</v>
      </c>
      <c r="K733" t="s">
        <v>1938</v>
      </c>
      <c r="L733" t="s">
        <v>6199</v>
      </c>
      <c r="M733" t="s">
        <v>6195</v>
      </c>
      <c r="N733">
        <v>0.2</v>
      </c>
      <c r="O733">
        <v>3.8849999999999998</v>
      </c>
      <c r="P733">
        <v>1.9424999999999999</v>
      </c>
      <c r="Q733">
        <v>0.50505</v>
      </c>
      <c r="R733" s="5">
        <v>15.54</v>
      </c>
    </row>
    <row r="734" spans="1:18" x14ac:dyDescent="0.25">
      <c r="A734" t="s">
        <v>1429</v>
      </c>
      <c r="B734" s="7">
        <v>44312</v>
      </c>
      <c r="C734" t="str">
        <f>TEXT(Table3[[#This Row],[Order Date]],"yyyy")</f>
        <v>2021</v>
      </c>
      <c r="D734" t="s">
        <v>6236</v>
      </c>
      <c r="E734" t="s">
        <v>1430</v>
      </c>
      <c r="F734" t="s">
        <v>260</v>
      </c>
      <c r="G734">
        <v>2</v>
      </c>
      <c r="H734" t="s">
        <v>5103</v>
      </c>
      <c r="I734" t="s">
        <v>6210</v>
      </c>
      <c r="J734" t="s">
        <v>2366</v>
      </c>
      <c r="K734" t="s">
        <v>1947</v>
      </c>
      <c r="L734" t="s">
        <v>6212</v>
      </c>
      <c r="M734" t="s">
        <v>6215</v>
      </c>
      <c r="N734">
        <v>0.2</v>
      </c>
      <c r="O734">
        <v>4.4550000000000001</v>
      </c>
      <c r="P734">
        <v>2.2275</v>
      </c>
      <c r="Q734">
        <v>0.49004999999999999</v>
      </c>
      <c r="R734" s="5">
        <v>8.91</v>
      </c>
    </row>
    <row r="735" spans="1:18" x14ac:dyDescent="0.25">
      <c r="A735" t="s">
        <v>1431</v>
      </c>
      <c r="B735" s="7">
        <v>44565</v>
      </c>
      <c r="C735" t="str">
        <f>TEXT(Table3[[#This Row],[Order Date]],"yyyy")</f>
        <v>2022</v>
      </c>
      <c r="D735" t="s">
        <v>6232</v>
      </c>
      <c r="E735" t="s">
        <v>1432</v>
      </c>
      <c r="F735" t="s">
        <v>203</v>
      </c>
      <c r="G735">
        <v>3</v>
      </c>
      <c r="H735" t="s">
        <v>5107</v>
      </c>
      <c r="I735" t="s">
        <v>6210</v>
      </c>
      <c r="J735" t="s">
        <v>2435</v>
      </c>
      <c r="K735" t="s">
        <v>1938</v>
      </c>
      <c r="L735" t="s">
        <v>6199</v>
      </c>
      <c r="M735" t="s">
        <v>6193</v>
      </c>
      <c r="N735">
        <v>2.5</v>
      </c>
      <c r="O735">
        <v>33.464999999999996</v>
      </c>
      <c r="P735">
        <v>1.3385999999999998</v>
      </c>
      <c r="Q735">
        <v>4.3504499999999995</v>
      </c>
      <c r="R735" s="5">
        <v>100.39499999999998</v>
      </c>
    </row>
    <row r="736" spans="1:18" x14ac:dyDescent="0.25">
      <c r="A736" t="s">
        <v>1433</v>
      </c>
      <c r="B736" s="7">
        <v>43697</v>
      </c>
      <c r="C736" t="str">
        <f>TEXT(Table3[[#This Row],[Order Date]],"yyyy")</f>
        <v>2019</v>
      </c>
      <c r="D736" t="s">
        <v>6231</v>
      </c>
      <c r="E736" t="s">
        <v>1434</v>
      </c>
      <c r="F736" t="s">
        <v>107</v>
      </c>
      <c r="G736">
        <v>5</v>
      </c>
      <c r="H736" t="s">
        <v>5111</v>
      </c>
      <c r="I736" t="s">
        <v>6210</v>
      </c>
      <c r="J736" t="s">
        <v>5114</v>
      </c>
      <c r="K736" t="s">
        <v>1947</v>
      </c>
      <c r="L736" t="s">
        <v>6211</v>
      </c>
      <c r="M736" t="s">
        <v>6195</v>
      </c>
      <c r="N736">
        <v>0.2</v>
      </c>
      <c r="O736">
        <v>2.6849999999999996</v>
      </c>
      <c r="P736">
        <v>1.3424999999999998</v>
      </c>
      <c r="Q736">
        <v>0.16109999999999997</v>
      </c>
      <c r="R736" s="5">
        <v>13.424999999999997</v>
      </c>
    </row>
    <row r="737" spans="1:18" x14ac:dyDescent="0.25">
      <c r="A737" t="s">
        <v>1435</v>
      </c>
      <c r="B737" s="7">
        <v>44757</v>
      </c>
      <c r="C737" t="str">
        <f>TEXT(Table3[[#This Row],[Order Date]],"yyyy")</f>
        <v>2022</v>
      </c>
      <c r="D737" t="s">
        <v>6230</v>
      </c>
      <c r="E737" t="s">
        <v>1436</v>
      </c>
      <c r="F737" t="s">
        <v>57</v>
      </c>
      <c r="G737">
        <v>6</v>
      </c>
      <c r="H737" t="s">
        <v>5115</v>
      </c>
      <c r="I737" t="s">
        <v>6210</v>
      </c>
      <c r="J737" t="s">
        <v>2983</v>
      </c>
      <c r="K737" t="s">
        <v>1947</v>
      </c>
      <c r="L737" t="s">
        <v>6212</v>
      </c>
      <c r="M737" t="s">
        <v>6195</v>
      </c>
      <c r="N737">
        <v>0.2</v>
      </c>
      <c r="O737">
        <v>3.645</v>
      </c>
      <c r="P737">
        <v>1.8225</v>
      </c>
      <c r="Q737">
        <v>0.40095000000000003</v>
      </c>
      <c r="R737" s="5">
        <v>21.87</v>
      </c>
    </row>
    <row r="738" spans="1:18" x14ac:dyDescent="0.25">
      <c r="A738" t="s">
        <v>1437</v>
      </c>
      <c r="B738" s="7">
        <v>43508</v>
      </c>
      <c r="C738" t="str">
        <f>TEXT(Table3[[#This Row],[Order Date]],"yyyy")</f>
        <v>2019</v>
      </c>
      <c r="D738" t="s">
        <v>6238</v>
      </c>
      <c r="E738" t="s">
        <v>1438</v>
      </c>
      <c r="F738" t="s">
        <v>19</v>
      </c>
      <c r="G738">
        <v>2</v>
      </c>
      <c r="H738" t="s">
        <v>5118</v>
      </c>
      <c r="I738" t="s">
        <v>1945</v>
      </c>
      <c r="J738" t="s">
        <v>2596</v>
      </c>
      <c r="K738" t="s">
        <v>1938</v>
      </c>
      <c r="L738" t="s">
        <v>6199</v>
      </c>
      <c r="M738" t="s">
        <v>6195</v>
      </c>
      <c r="N738">
        <v>1</v>
      </c>
      <c r="O738">
        <v>12.95</v>
      </c>
      <c r="P738">
        <v>1.2949999999999999</v>
      </c>
      <c r="Q738">
        <v>1.6835</v>
      </c>
      <c r="R738" s="5">
        <v>25.9</v>
      </c>
    </row>
    <row r="739" spans="1:18" x14ac:dyDescent="0.25">
      <c r="A739" t="s">
        <v>1439</v>
      </c>
      <c r="B739" s="7">
        <v>44447</v>
      </c>
      <c r="C739" t="str">
        <f>TEXT(Table3[[#This Row],[Order Date]],"yyyy")</f>
        <v>2021</v>
      </c>
      <c r="D739" t="s">
        <v>6228</v>
      </c>
      <c r="E739" t="s">
        <v>1440</v>
      </c>
      <c r="F739" t="s">
        <v>67</v>
      </c>
      <c r="G739">
        <v>5</v>
      </c>
      <c r="H739" t="s">
        <v>5122</v>
      </c>
      <c r="I739" t="s">
        <v>6210</v>
      </c>
      <c r="J739" t="s">
        <v>3032</v>
      </c>
      <c r="K739" t="s">
        <v>1947</v>
      </c>
      <c r="L739" t="s">
        <v>6213</v>
      </c>
      <c r="M739" t="s">
        <v>6193</v>
      </c>
      <c r="N739">
        <v>1</v>
      </c>
      <c r="O739">
        <v>11.25</v>
      </c>
      <c r="P739">
        <v>1.125</v>
      </c>
      <c r="Q739">
        <v>1.0125</v>
      </c>
      <c r="R739" s="5">
        <v>56.25</v>
      </c>
    </row>
    <row r="740" spans="1:18" x14ac:dyDescent="0.25">
      <c r="A740" t="s">
        <v>1441</v>
      </c>
      <c r="B740" s="7">
        <v>43812</v>
      </c>
      <c r="C740" t="str">
        <f>TEXT(Table3[[#This Row],[Order Date]],"yyyy")</f>
        <v>2019</v>
      </c>
      <c r="D740" t="s">
        <v>6237</v>
      </c>
      <c r="E740" t="s">
        <v>1442</v>
      </c>
      <c r="F740" t="s">
        <v>188</v>
      </c>
      <c r="G740">
        <v>3</v>
      </c>
      <c r="H740" t="s">
        <v>5126</v>
      </c>
      <c r="I740" t="s">
        <v>2112</v>
      </c>
      <c r="J740" t="s">
        <v>2907</v>
      </c>
      <c r="K740" t="s">
        <v>1947</v>
      </c>
      <c r="L740" t="s">
        <v>6211</v>
      </c>
      <c r="M740" t="s">
        <v>6215</v>
      </c>
      <c r="N740">
        <v>0.2</v>
      </c>
      <c r="O740">
        <v>3.5849999999999995</v>
      </c>
      <c r="P740">
        <v>1.7924999999999998</v>
      </c>
      <c r="Q740">
        <v>0.21509999999999996</v>
      </c>
      <c r="R740" s="5">
        <v>10.754999999999999</v>
      </c>
    </row>
    <row r="741" spans="1:18" x14ac:dyDescent="0.25">
      <c r="A741" t="s">
        <v>1443</v>
      </c>
      <c r="B741" s="7">
        <v>44433</v>
      </c>
      <c r="C741" t="str">
        <f>TEXT(Table3[[#This Row],[Order Date]],"yyyy")</f>
        <v>2021</v>
      </c>
      <c r="D741" t="s">
        <v>6231</v>
      </c>
      <c r="E741" t="s">
        <v>1350</v>
      </c>
      <c r="F741" t="s">
        <v>57</v>
      </c>
      <c r="G741">
        <v>5</v>
      </c>
      <c r="H741" t="s">
        <v>4970</v>
      </c>
      <c r="I741" t="s">
        <v>1945</v>
      </c>
      <c r="J741" t="s">
        <v>2362</v>
      </c>
      <c r="K741" t="s">
        <v>1947</v>
      </c>
      <c r="L741" t="s">
        <v>6212</v>
      </c>
      <c r="M741" t="s">
        <v>6195</v>
      </c>
      <c r="N741">
        <v>0.2</v>
      </c>
      <c r="O741">
        <v>3.645</v>
      </c>
      <c r="P741">
        <v>1.8225</v>
      </c>
      <c r="Q741">
        <v>0.40095000000000003</v>
      </c>
      <c r="R741" s="5">
        <v>18.225000000000001</v>
      </c>
    </row>
    <row r="742" spans="1:18" x14ac:dyDescent="0.25">
      <c r="A742" t="s">
        <v>1444</v>
      </c>
      <c r="B742" s="7">
        <v>44643</v>
      </c>
      <c r="C742" t="str">
        <f>TEXT(Table3[[#This Row],[Order Date]],"yyyy")</f>
        <v>2022</v>
      </c>
      <c r="D742" t="s">
        <v>6234</v>
      </c>
      <c r="E742" t="s">
        <v>1445</v>
      </c>
      <c r="F742" t="s">
        <v>163</v>
      </c>
      <c r="G742">
        <v>4</v>
      </c>
      <c r="H742" t="s">
        <v>5134</v>
      </c>
      <c r="I742" t="s">
        <v>1945</v>
      </c>
      <c r="J742" t="s">
        <v>5006</v>
      </c>
      <c r="K742" t="s">
        <v>1947</v>
      </c>
      <c r="L742" t="s">
        <v>6211</v>
      </c>
      <c r="M742" t="s">
        <v>6215</v>
      </c>
      <c r="N742">
        <v>0.5</v>
      </c>
      <c r="O742">
        <v>7.169999999999999</v>
      </c>
      <c r="P742">
        <v>1.4339999999999997</v>
      </c>
      <c r="Q742">
        <v>0.43019999999999992</v>
      </c>
      <c r="R742" s="5">
        <v>28.679999999999996</v>
      </c>
    </row>
    <row r="743" spans="1:18" x14ac:dyDescent="0.25">
      <c r="A743" t="s">
        <v>1446</v>
      </c>
      <c r="B743" s="7">
        <v>43566</v>
      </c>
      <c r="C743" t="str">
        <f>TEXT(Table3[[#This Row],[Order Date]],"yyyy")</f>
        <v>2019</v>
      </c>
      <c r="D743" t="s">
        <v>6236</v>
      </c>
      <c r="E743" t="s">
        <v>1447</v>
      </c>
      <c r="F743" t="s">
        <v>83</v>
      </c>
      <c r="G743">
        <v>2</v>
      </c>
      <c r="H743" t="s">
        <v>5138</v>
      </c>
      <c r="I743" t="s">
        <v>6210</v>
      </c>
      <c r="J743" t="s">
        <v>4806</v>
      </c>
      <c r="K743" t="s">
        <v>1947</v>
      </c>
      <c r="L743" t="s">
        <v>6199</v>
      </c>
      <c r="M743" t="s">
        <v>6193</v>
      </c>
      <c r="N743">
        <v>0.2</v>
      </c>
      <c r="O743">
        <v>4.3650000000000002</v>
      </c>
      <c r="P743">
        <v>2.1825000000000001</v>
      </c>
      <c r="Q743">
        <v>0.56745000000000001</v>
      </c>
      <c r="R743" s="5">
        <v>8.73</v>
      </c>
    </row>
    <row r="744" spans="1:18" x14ac:dyDescent="0.25">
      <c r="A744" t="s">
        <v>1448</v>
      </c>
      <c r="B744" s="7">
        <v>44133</v>
      </c>
      <c r="C744" t="str">
        <f>TEXT(Table3[[#This Row],[Order Date]],"yyyy")</f>
        <v>2020</v>
      </c>
      <c r="D744" t="s">
        <v>6235</v>
      </c>
      <c r="E744" t="s">
        <v>1449</v>
      </c>
      <c r="F744" t="s">
        <v>102</v>
      </c>
      <c r="G744">
        <v>4</v>
      </c>
      <c r="H744" t="s">
        <v>5142</v>
      </c>
      <c r="I744" t="s">
        <v>6210</v>
      </c>
      <c r="J744" t="s">
        <v>2840</v>
      </c>
      <c r="K744" t="s">
        <v>1947</v>
      </c>
      <c r="L744" t="s">
        <v>6199</v>
      </c>
      <c r="M744" t="s">
        <v>6193</v>
      </c>
      <c r="N744">
        <v>1</v>
      </c>
      <c r="O744">
        <v>14.55</v>
      </c>
      <c r="P744">
        <v>1.4550000000000001</v>
      </c>
      <c r="Q744">
        <v>1.8915000000000002</v>
      </c>
      <c r="R744" s="5">
        <v>58.2</v>
      </c>
    </row>
    <row r="745" spans="1:18" x14ac:dyDescent="0.25">
      <c r="A745" t="s">
        <v>1450</v>
      </c>
      <c r="B745" s="7">
        <v>44042</v>
      </c>
      <c r="C745" t="str">
        <f>TEXT(Table3[[#This Row],[Order Date]],"yyyy")</f>
        <v>2020</v>
      </c>
      <c r="D745" t="s">
        <v>6230</v>
      </c>
      <c r="E745" t="s">
        <v>1451</v>
      </c>
      <c r="F745" t="s">
        <v>78</v>
      </c>
      <c r="G745">
        <v>3</v>
      </c>
      <c r="H745" t="s">
        <v>5146</v>
      </c>
      <c r="I745" t="s">
        <v>6210</v>
      </c>
      <c r="J745" t="s">
        <v>4396</v>
      </c>
      <c r="K745" t="s">
        <v>1947</v>
      </c>
      <c r="L745" t="s">
        <v>6213</v>
      </c>
      <c r="M745" t="s">
        <v>6195</v>
      </c>
      <c r="N745">
        <v>0.5</v>
      </c>
      <c r="O745">
        <v>5.97</v>
      </c>
      <c r="P745">
        <v>1.194</v>
      </c>
      <c r="Q745">
        <v>0.5373</v>
      </c>
      <c r="R745" s="5">
        <v>17.91</v>
      </c>
    </row>
    <row r="746" spans="1:18" x14ac:dyDescent="0.25">
      <c r="A746" t="s">
        <v>1452</v>
      </c>
      <c r="B746" s="7">
        <v>43539</v>
      </c>
      <c r="C746" t="str">
        <f>TEXT(Table3[[#This Row],[Order Date]],"yyyy")</f>
        <v>2019</v>
      </c>
      <c r="D746" t="s">
        <v>6234</v>
      </c>
      <c r="E746" t="s">
        <v>1453</v>
      </c>
      <c r="F746" t="s">
        <v>168</v>
      </c>
      <c r="G746">
        <v>6</v>
      </c>
      <c r="H746" t="s">
        <v>5150</v>
      </c>
      <c r="I746" t="s">
        <v>6210</v>
      </c>
      <c r="J746" t="s">
        <v>2816</v>
      </c>
      <c r="K746" t="s">
        <v>1938</v>
      </c>
      <c r="L746" t="s">
        <v>6211</v>
      </c>
      <c r="M746" t="s">
        <v>6193</v>
      </c>
      <c r="N746">
        <v>0.2</v>
      </c>
      <c r="O746">
        <v>2.9849999999999999</v>
      </c>
      <c r="P746">
        <v>1.4924999999999999</v>
      </c>
      <c r="Q746">
        <v>0.17909999999999998</v>
      </c>
      <c r="R746" s="5">
        <v>17.91</v>
      </c>
    </row>
    <row r="747" spans="1:18" x14ac:dyDescent="0.25">
      <c r="A747" t="s">
        <v>1454</v>
      </c>
      <c r="B747" s="7">
        <v>44557</v>
      </c>
      <c r="C747" t="str">
        <f>TEXT(Table3[[#This Row],[Order Date]],"yyyy")</f>
        <v>2021</v>
      </c>
      <c r="D747" t="s">
        <v>6237</v>
      </c>
      <c r="E747" t="s">
        <v>1455</v>
      </c>
      <c r="F747" t="s">
        <v>22</v>
      </c>
      <c r="G747">
        <v>2</v>
      </c>
      <c r="H747" t="s">
        <v>5153</v>
      </c>
      <c r="I747" t="s">
        <v>1945</v>
      </c>
      <c r="J747" t="s">
        <v>5157</v>
      </c>
      <c r="K747" t="s">
        <v>1947</v>
      </c>
      <c r="L747" t="s">
        <v>6212</v>
      </c>
      <c r="M747" t="s">
        <v>6195</v>
      </c>
      <c r="N747">
        <v>0.5</v>
      </c>
      <c r="O747">
        <v>7.29</v>
      </c>
      <c r="P747">
        <v>1.458</v>
      </c>
      <c r="Q747">
        <v>0.80190000000000006</v>
      </c>
      <c r="R747" s="5">
        <v>14.58</v>
      </c>
    </row>
    <row r="748" spans="1:18" x14ac:dyDescent="0.25">
      <c r="A748" t="s">
        <v>1456</v>
      </c>
      <c r="B748" s="7">
        <v>43741</v>
      </c>
      <c r="C748" t="str">
        <f>TEXT(Table3[[#This Row],[Order Date]],"yyyy")</f>
        <v>2019</v>
      </c>
      <c r="D748" t="s">
        <v>6235</v>
      </c>
      <c r="E748" t="s">
        <v>1457</v>
      </c>
      <c r="F748" t="s">
        <v>67</v>
      </c>
      <c r="G748">
        <v>3</v>
      </c>
      <c r="H748" t="s">
        <v>5159</v>
      </c>
      <c r="I748" t="s">
        <v>1945</v>
      </c>
      <c r="J748" t="s">
        <v>5163</v>
      </c>
      <c r="K748" t="s">
        <v>1947</v>
      </c>
      <c r="L748" t="s">
        <v>6213</v>
      </c>
      <c r="M748" t="s">
        <v>6193</v>
      </c>
      <c r="N748">
        <v>1</v>
      </c>
      <c r="O748">
        <v>11.25</v>
      </c>
      <c r="P748">
        <v>1.125</v>
      </c>
      <c r="Q748">
        <v>1.0125</v>
      </c>
      <c r="R748" s="5">
        <v>33.75</v>
      </c>
    </row>
    <row r="749" spans="1:18" x14ac:dyDescent="0.25">
      <c r="A749" t="s">
        <v>1458</v>
      </c>
      <c r="B749" s="7">
        <v>43501</v>
      </c>
      <c r="C749" t="str">
        <f>TEXT(Table3[[#This Row],[Order Date]],"yyyy")</f>
        <v>2019</v>
      </c>
      <c r="D749" t="s">
        <v>6238</v>
      </c>
      <c r="E749" t="s">
        <v>1459</v>
      </c>
      <c r="F749" t="s">
        <v>84</v>
      </c>
      <c r="G749">
        <v>4</v>
      </c>
      <c r="H749" t="s">
        <v>5164</v>
      </c>
      <c r="I749" t="s">
        <v>1945</v>
      </c>
      <c r="J749" t="s">
        <v>5168</v>
      </c>
      <c r="K749" t="s">
        <v>1938</v>
      </c>
      <c r="L749" t="s">
        <v>6199</v>
      </c>
      <c r="M749" t="s">
        <v>6193</v>
      </c>
      <c r="N749">
        <v>0.5</v>
      </c>
      <c r="O749">
        <v>8.73</v>
      </c>
      <c r="P749">
        <v>1.746</v>
      </c>
      <c r="Q749">
        <v>1.1349</v>
      </c>
      <c r="R749" s="5">
        <v>34.92</v>
      </c>
    </row>
    <row r="750" spans="1:18" x14ac:dyDescent="0.25">
      <c r="A750" t="s">
        <v>1460</v>
      </c>
      <c r="B750" s="7">
        <v>44074</v>
      </c>
      <c r="C750" t="str">
        <f>TEXT(Table3[[#This Row],[Order Date]],"yyyy")</f>
        <v>2020</v>
      </c>
      <c r="D750" t="s">
        <v>6231</v>
      </c>
      <c r="E750" t="s">
        <v>1461</v>
      </c>
      <c r="F750" t="s">
        <v>22</v>
      </c>
      <c r="G750">
        <v>2</v>
      </c>
      <c r="H750" t="s">
        <v>5170</v>
      </c>
      <c r="I750" t="s">
        <v>6210</v>
      </c>
      <c r="J750" t="s">
        <v>2000</v>
      </c>
      <c r="K750" t="s">
        <v>1947</v>
      </c>
      <c r="L750" t="s">
        <v>6212</v>
      </c>
      <c r="M750" t="s">
        <v>6195</v>
      </c>
      <c r="N750">
        <v>0.5</v>
      </c>
      <c r="O750">
        <v>7.29</v>
      </c>
      <c r="P750">
        <v>1.458</v>
      </c>
      <c r="Q750">
        <v>0.80190000000000006</v>
      </c>
      <c r="R750" s="5">
        <v>14.58</v>
      </c>
    </row>
    <row r="751" spans="1:18" x14ac:dyDescent="0.25">
      <c r="A751" t="s">
        <v>1462</v>
      </c>
      <c r="B751" s="7">
        <v>44209</v>
      </c>
      <c r="C751" t="str">
        <f>TEXT(Table3[[#This Row],[Order Date]],"yyyy")</f>
        <v>2021</v>
      </c>
      <c r="D751" t="s">
        <v>6232</v>
      </c>
      <c r="E751" t="s">
        <v>1463</v>
      </c>
      <c r="F751" t="s">
        <v>107</v>
      </c>
      <c r="G751">
        <v>2</v>
      </c>
      <c r="H751" t="s">
        <v>5174</v>
      </c>
      <c r="I751" t="s">
        <v>1945</v>
      </c>
      <c r="J751" t="s">
        <v>5178</v>
      </c>
      <c r="K751" t="s">
        <v>1938</v>
      </c>
      <c r="L751" t="s">
        <v>6211</v>
      </c>
      <c r="M751" t="s">
        <v>6195</v>
      </c>
      <c r="N751">
        <v>0.2</v>
      </c>
      <c r="O751">
        <v>2.6849999999999996</v>
      </c>
      <c r="P751">
        <v>1.3424999999999998</v>
      </c>
      <c r="Q751">
        <v>0.16109999999999997</v>
      </c>
      <c r="R751" s="5">
        <v>5.3699999999999992</v>
      </c>
    </row>
    <row r="752" spans="1:18" x14ac:dyDescent="0.25">
      <c r="A752" t="s">
        <v>1464</v>
      </c>
      <c r="B752" s="7">
        <v>44277</v>
      </c>
      <c r="C752" t="str">
        <f>TEXT(Table3[[#This Row],[Order Date]],"yyyy")</f>
        <v>2021</v>
      </c>
      <c r="D752" t="s">
        <v>6234</v>
      </c>
      <c r="E752" t="s">
        <v>1465</v>
      </c>
      <c r="F752" t="s">
        <v>28</v>
      </c>
      <c r="G752">
        <v>1</v>
      </c>
      <c r="H752" t="s">
        <v>5179</v>
      </c>
      <c r="I752" t="s">
        <v>6210</v>
      </c>
      <c r="J752" t="s">
        <v>2262</v>
      </c>
      <c r="K752" t="s">
        <v>1938</v>
      </c>
      <c r="L752" t="s">
        <v>6211</v>
      </c>
      <c r="M752" t="s">
        <v>6193</v>
      </c>
      <c r="N752">
        <v>0.5</v>
      </c>
      <c r="O752">
        <v>5.97</v>
      </c>
      <c r="P752">
        <v>1.194</v>
      </c>
      <c r="Q752">
        <v>0.35819999999999996</v>
      </c>
      <c r="R752" s="5">
        <v>5.97</v>
      </c>
    </row>
    <row r="753" spans="1:18" x14ac:dyDescent="0.25">
      <c r="A753" t="s">
        <v>1466</v>
      </c>
      <c r="B753" s="7">
        <v>43847</v>
      </c>
      <c r="C753" t="str">
        <f>TEXT(Table3[[#This Row],[Order Date]],"yyyy")</f>
        <v>2020</v>
      </c>
      <c r="D753" t="s">
        <v>6232</v>
      </c>
      <c r="E753" t="s">
        <v>1467</v>
      </c>
      <c r="F753" t="s">
        <v>89</v>
      </c>
      <c r="G753">
        <v>2</v>
      </c>
      <c r="H753" t="s">
        <v>5182</v>
      </c>
      <c r="I753" t="s">
        <v>6210</v>
      </c>
      <c r="J753" t="s">
        <v>2771</v>
      </c>
      <c r="K753" t="s">
        <v>1947</v>
      </c>
      <c r="L753" t="s">
        <v>6199</v>
      </c>
      <c r="M753" t="s">
        <v>6215</v>
      </c>
      <c r="N753">
        <v>0.5</v>
      </c>
      <c r="O753">
        <v>9.51</v>
      </c>
      <c r="P753">
        <v>1.9019999999999999</v>
      </c>
      <c r="Q753">
        <v>1.2363</v>
      </c>
      <c r="R753" s="5">
        <v>19.02</v>
      </c>
    </row>
    <row r="754" spans="1:18" x14ac:dyDescent="0.25">
      <c r="A754" t="s">
        <v>1468</v>
      </c>
      <c r="B754" s="7">
        <v>43648</v>
      </c>
      <c r="C754" t="str">
        <f>TEXT(Table3[[#This Row],[Order Date]],"yyyy")</f>
        <v>2019</v>
      </c>
      <c r="D754" t="s">
        <v>6230</v>
      </c>
      <c r="E754" t="s">
        <v>1469</v>
      </c>
      <c r="F754" t="s">
        <v>15</v>
      </c>
      <c r="G754">
        <v>2</v>
      </c>
      <c r="H754" t="s">
        <v>5186</v>
      </c>
      <c r="I754" t="s">
        <v>6210</v>
      </c>
      <c r="J754" t="s">
        <v>2262</v>
      </c>
      <c r="K754" t="s">
        <v>1938</v>
      </c>
      <c r="L754" t="s">
        <v>6212</v>
      </c>
      <c r="M754" t="s">
        <v>6193</v>
      </c>
      <c r="N754">
        <v>1</v>
      </c>
      <c r="O754">
        <v>13.75</v>
      </c>
      <c r="P754">
        <v>1.375</v>
      </c>
      <c r="Q754">
        <v>1.5125</v>
      </c>
      <c r="R754" s="5">
        <v>27.5</v>
      </c>
    </row>
    <row r="755" spans="1:18" x14ac:dyDescent="0.25">
      <c r="A755" t="s">
        <v>1470</v>
      </c>
      <c r="B755" s="7">
        <v>44704</v>
      </c>
      <c r="C755" t="str">
        <f>TEXT(Table3[[#This Row],[Order Date]],"yyyy")</f>
        <v>2022</v>
      </c>
      <c r="D755" t="s">
        <v>6233</v>
      </c>
      <c r="E755" t="s">
        <v>1471</v>
      </c>
      <c r="F755" t="s">
        <v>78</v>
      </c>
      <c r="G755">
        <v>5</v>
      </c>
      <c r="H755" t="s">
        <v>5190</v>
      </c>
      <c r="I755" t="s">
        <v>6210</v>
      </c>
      <c r="J755" t="s">
        <v>3094</v>
      </c>
      <c r="K755" t="s">
        <v>1947</v>
      </c>
      <c r="L755" t="s">
        <v>6213</v>
      </c>
      <c r="M755" t="s">
        <v>6195</v>
      </c>
      <c r="N755">
        <v>0.5</v>
      </c>
      <c r="O755">
        <v>5.97</v>
      </c>
      <c r="P755">
        <v>1.194</v>
      </c>
      <c r="Q755">
        <v>0.5373</v>
      </c>
      <c r="R755" s="5">
        <v>29.849999999999998</v>
      </c>
    </row>
    <row r="756" spans="1:18" x14ac:dyDescent="0.25">
      <c r="A756" t="s">
        <v>1472</v>
      </c>
      <c r="B756" s="7">
        <v>44726</v>
      </c>
      <c r="C756" t="str">
        <f>TEXT(Table3[[#This Row],[Order Date]],"yyyy")</f>
        <v>2022</v>
      </c>
      <c r="D756" t="s">
        <v>6229</v>
      </c>
      <c r="E756" t="s">
        <v>1350</v>
      </c>
      <c r="F756" t="s">
        <v>60</v>
      </c>
      <c r="G756">
        <v>6</v>
      </c>
      <c r="H756" t="s">
        <v>4970</v>
      </c>
      <c r="I756" t="s">
        <v>1945</v>
      </c>
      <c r="J756" t="s">
        <v>2362</v>
      </c>
      <c r="K756" t="s">
        <v>1947</v>
      </c>
      <c r="L756" t="s">
        <v>6213</v>
      </c>
      <c r="M756" t="s">
        <v>6195</v>
      </c>
      <c r="N756">
        <v>0.2</v>
      </c>
      <c r="O756">
        <v>2.9849999999999999</v>
      </c>
      <c r="P756">
        <v>1.4924999999999999</v>
      </c>
      <c r="Q756">
        <v>0.26865</v>
      </c>
      <c r="R756" s="5">
        <v>17.91</v>
      </c>
    </row>
    <row r="757" spans="1:18" x14ac:dyDescent="0.25">
      <c r="A757" t="s">
        <v>1473</v>
      </c>
      <c r="B757" s="7">
        <v>44397</v>
      </c>
      <c r="C757" t="str">
        <f>TEXT(Table3[[#This Row],[Order Date]],"yyyy")</f>
        <v>2021</v>
      </c>
      <c r="D757" t="s">
        <v>6230</v>
      </c>
      <c r="E757" t="s">
        <v>1474</v>
      </c>
      <c r="F757" t="s">
        <v>25</v>
      </c>
      <c r="G757">
        <v>6</v>
      </c>
      <c r="H757" t="s">
        <v>5198</v>
      </c>
      <c r="I757" t="s">
        <v>6210</v>
      </c>
      <c r="J757" t="s">
        <v>2321</v>
      </c>
      <c r="K757" t="s">
        <v>1947</v>
      </c>
      <c r="L757" t="s">
        <v>6199</v>
      </c>
      <c r="M757" t="s">
        <v>6215</v>
      </c>
      <c r="N757">
        <v>0.2</v>
      </c>
      <c r="O757">
        <v>4.7549999999999999</v>
      </c>
      <c r="P757">
        <v>2.3774999999999999</v>
      </c>
      <c r="Q757">
        <v>0.61814999999999998</v>
      </c>
      <c r="R757" s="5">
        <v>28.53</v>
      </c>
    </row>
    <row r="758" spans="1:18" x14ac:dyDescent="0.25">
      <c r="A758" t="s">
        <v>1475</v>
      </c>
      <c r="B758" s="7">
        <v>44715</v>
      </c>
      <c r="C758" t="str">
        <f>TEXT(Table3[[#This Row],[Order Date]],"yyyy")</f>
        <v>2022</v>
      </c>
      <c r="D758" t="s">
        <v>6229</v>
      </c>
      <c r="E758" t="s">
        <v>1476</v>
      </c>
      <c r="F758" t="s">
        <v>185</v>
      </c>
      <c r="G758">
        <v>4</v>
      </c>
      <c r="H758" t="s">
        <v>5202</v>
      </c>
      <c r="I758" t="s">
        <v>6210</v>
      </c>
      <c r="J758" t="s">
        <v>3682</v>
      </c>
      <c r="K758" t="s">
        <v>1938</v>
      </c>
      <c r="L758" t="s">
        <v>6211</v>
      </c>
      <c r="M758" t="s">
        <v>6195</v>
      </c>
      <c r="N758">
        <v>1</v>
      </c>
      <c r="O758">
        <v>8.9499999999999993</v>
      </c>
      <c r="P758">
        <v>0.89499999999999991</v>
      </c>
      <c r="Q758">
        <v>0.53699999999999992</v>
      </c>
      <c r="R758" s="5">
        <v>35.799999999999997</v>
      </c>
    </row>
    <row r="759" spans="1:18" x14ac:dyDescent="0.25">
      <c r="A759" t="s">
        <v>1477</v>
      </c>
      <c r="B759" s="7">
        <v>43977</v>
      </c>
      <c r="C759" t="str">
        <f>TEXT(Table3[[#This Row],[Order Date]],"yyyy")</f>
        <v>2020</v>
      </c>
      <c r="D759" t="s">
        <v>6233</v>
      </c>
      <c r="E759" t="s">
        <v>1478</v>
      </c>
      <c r="F759" t="s">
        <v>78</v>
      </c>
      <c r="G759">
        <v>3</v>
      </c>
      <c r="H759" t="s">
        <v>5206</v>
      </c>
      <c r="I759" t="s">
        <v>6210</v>
      </c>
      <c r="J759" t="s">
        <v>5210</v>
      </c>
      <c r="K759" t="s">
        <v>1938</v>
      </c>
      <c r="L759" t="s">
        <v>6213</v>
      </c>
      <c r="M759" t="s">
        <v>6195</v>
      </c>
      <c r="N759">
        <v>0.5</v>
      </c>
      <c r="O759">
        <v>5.97</v>
      </c>
      <c r="P759">
        <v>1.194</v>
      </c>
      <c r="Q759">
        <v>0.5373</v>
      </c>
      <c r="R759" s="5">
        <v>17.91</v>
      </c>
    </row>
    <row r="760" spans="1:18" x14ac:dyDescent="0.25">
      <c r="A760" t="s">
        <v>1479</v>
      </c>
      <c r="B760" s="7">
        <v>43672</v>
      </c>
      <c r="C760" t="str">
        <f>TEXT(Table3[[#This Row],[Order Date]],"yyyy")</f>
        <v>2019</v>
      </c>
      <c r="D760" t="s">
        <v>6230</v>
      </c>
      <c r="E760" t="s">
        <v>1480</v>
      </c>
      <c r="F760" t="s">
        <v>185</v>
      </c>
      <c r="G760">
        <v>1</v>
      </c>
      <c r="H760" t="s">
        <v>5211</v>
      </c>
      <c r="I760" t="s">
        <v>6210</v>
      </c>
      <c r="J760" t="s">
        <v>2009</v>
      </c>
      <c r="K760" t="s">
        <v>1947</v>
      </c>
      <c r="L760" t="s">
        <v>6211</v>
      </c>
      <c r="M760" t="s">
        <v>6195</v>
      </c>
      <c r="N760">
        <v>1</v>
      </c>
      <c r="O760">
        <v>8.9499999999999993</v>
      </c>
      <c r="P760">
        <v>0.89499999999999991</v>
      </c>
      <c r="Q760">
        <v>0.53699999999999992</v>
      </c>
      <c r="R760" s="5">
        <v>8.9499999999999993</v>
      </c>
    </row>
    <row r="761" spans="1:18" x14ac:dyDescent="0.25">
      <c r="A761" t="s">
        <v>1481</v>
      </c>
      <c r="B761" s="7">
        <v>44126</v>
      </c>
      <c r="C761" t="str">
        <f>TEXT(Table3[[#This Row],[Order Date]],"yyyy")</f>
        <v>2020</v>
      </c>
      <c r="D761" t="s">
        <v>6235</v>
      </c>
      <c r="E761" t="s">
        <v>1482</v>
      </c>
      <c r="F761" t="s">
        <v>115</v>
      </c>
      <c r="G761">
        <v>1</v>
      </c>
      <c r="H761" t="s">
        <v>5214</v>
      </c>
      <c r="I761" t="s">
        <v>6210</v>
      </c>
      <c r="J761" t="s">
        <v>5218</v>
      </c>
      <c r="K761" t="s">
        <v>1938</v>
      </c>
      <c r="L761" t="s">
        <v>6199</v>
      </c>
      <c r="M761" t="s">
        <v>6195</v>
      </c>
      <c r="N761">
        <v>2.5</v>
      </c>
      <c r="O761">
        <v>29.784999999999997</v>
      </c>
      <c r="P761">
        <v>1.1913999999999998</v>
      </c>
      <c r="Q761">
        <v>3.8720499999999998</v>
      </c>
      <c r="R761" s="5">
        <v>29.784999999999997</v>
      </c>
    </row>
    <row r="762" spans="1:18" x14ac:dyDescent="0.25">
      <c r="A762" t="s">
        <v>1483</v>
      </c>
      <c r="B762" s="7">
        <v>44189</v>
      </c>
      <c r="C762" t="str">
        <f>TEXT(Table3[[#This Row],[Order Date]],"yyyy")</f>
        <v>2020</v>
      </c>
      <c r="D762" t="s">
        <v>6237</v>
      </c>
      <c r="E762" t="s">
        <v>1484</v>
      </c>
      <c r="F762" t="s">
        <v>182</v>
      </c>
      <c r="G762">
        <v>5</v>
      </c>
      <c r="H762" t="s">
        <v>5219</v>
      </c>
      <c r="I762" t="s">
        <v>6210</v>
      </c>
      <c r="J762" t="s">
        <v>2690</v>
      </c>
      <c r="K762" t="s">
        <v>1947</v>
      </c>
      <c r="L762" t="s">
        <v>6212</v>
      </c>
      <c r="M762" t="s">
        <v>6215</v>
      </c>
      <c r="N762">
        <v>0.5</v>
      </c>
      <c r="O762">
        <v>8.91</v>
      </c>
      <c r="P762">
        <v>1.782</v>
      </c>
      <c r="Q762">
        <v>0.98009999999999997</v>
      </c>
      <c r="R762" s="5">
        <v>44.55</v>
      </c>
    </row>
    <row r="763" spans="1:18" x14ac:dyDescent="0.25">
      <c r="A763" t="s">
        <v>1485</v>
      </c>
      <c r="B763" s="7">
        <v>43714</v>
      </c>
      <c r="C763" t="str">
        <f>TEXT(Table3[[#This Row],[Order Date]],"yyyy")</f>
        <v>2019</v>
      </c>
      <c r="D763" t="s">
        <v>6228</v>
      </c>
      <c r="E763" t="s">
        <v>1486</v>
      </c>
      <c r="F763" t="s">
        <v>143</v>
      </c>
      <c r="G763">
        <v>6</v>
      </c>
      <c r="H763" t="s">
        <v>5222</v>
      </c>
      <c r="I763" t="s">
        <v>6210</v>
      </c>
      <c r="J763" t="s">
        <v>5225</v>
      </c>
      <c r="K763" t="s">
        <v>1938</v>
      </c>
      <c r="L763" t="s">
        <v>6212</v>
      </c>
      <c r="M763" t="s">
        <v>6215</v>
      </c>
      <c r="N763">
        <v>1</v>
      </c>
      <c r="O763">
        <v>14.85</v>
      </c>
      <c r="P763">
        <v>1.4849999999999999</v>
      </c>
      <c r="Q763">
        <v>1.6335</v>
      </c>
      <c r="R763" s="5">
        <v>89.1</v>
      </c>
    </row>
    <row r="764" spans="1:18" x14ac:dyDescent="0.25">
      <c r="A764" t="s">
        <v>1487</v>
      </c>
      <c r="B764" s="7">
        <v>43563</v>
      </c>
      <c r="C764" t="str">
        <f>TEXT(Table3[[#This Row],[Order Date]],"yyyy")</f>
        <v>2019</v>
      </c>
      <c r="D764" t="s">
        <v>6236</v>
      </c>
      <c r="E764" t="s">
        <v>1488</v>
      </c>
      <c r="F764" t="s">
        <v>84</v>
      </c>
      <c r="G764">
        <v>5</v>
      </c>
      <c r="H764" t="s">
        <v>5226</v>
      </c>
      <c r="I764" t="s">
        <v>2112</v>
      </c>
      <c r="J764" t="s">
        <v>4417</v>
      </c>
      <c r="K764" t="s">
        <v>1947</v>
      </c>
      <c r="L764" t="s">
        <v>6199</v>
      </c>
      <c r="M764" t="s">
        <v>6193</v>
      </c>
      <c r="N764">
        <v>0.5</v>
      </c>
      <c r="O764">
        <v>8.73</v>
      </c>
      <c r="P764">
        <v>1.746</v>
      </c>
      <c r="Q764">
        <v>1.1349</v>
      </c>
      <c r="R764" s="5">
        <v>43.650000000000006</v>
      </c>
    </row>
    <row r="765" spans="1:18" x14ac:dyDescent="0.25">
      <c r="A765" t="s">
        <v>1489</v>
      </c>
      <c r="B765" s="7">
        <v>44587</v>
      </c>
      <c r="C765" t="str">
        <f>TEXT(Table3[[#This Row],[Order Date]],"yyyy")</f>
        <v>2022</v>
      </c>
      <c r="D765" t="s">
        <v>6232</v>
      </c>
      <c r="E765" t="s">
        <v>1490</v>
      </c>
      <c r="F765" t="s">
        <v>198</v>
      </c>
      <c r="G765">
        <v>3</v>
      </c>
      <c r="H765" t="s">
        <v>5230</v>
      </c>
      <c r="I765" t="s">
        <v>6210</v>
      </c>
      <c r="J765" t="s">
        <v>2262</v>
      </c>
      <c r="K765" t="s">
        <v>1947</v>
      </c>
      <c r="L765" t="s">
        <v>6213</v>
      </c>
      <c r="M765" t="s">
        <v>6215</v>
      </c>
      <c r="N765">
        <v>0.5</v>
      </c>
      <c r="O765">
        <v>7.77</v>
      </c>
      <c r="P765">
        <v>1.5539999999999998</v>
      </c>
      <c r="Q765">
        <v>0.69929999999999992</v>
      </c>
      <c r="R765" s="5">
        <v>23.31</v>
      </c>
    </row>
    <row r="766" spans="1:18" x14ac:dyDescent="0.25">
      <c r="A766" t="s">
        <v>1491</v>
      </c>
      <c r="B766" s="7">
        <v>43797</v>
      </c>
      <c r="C766" t="str">
        <f>TEXT(Table3[[#This Row],[Order Date]],"yyyy")</f>
        <v>2019</v>
      </c>
      <c r="D766" t="s">
        <v>6239</v>
      </c>
      <c r="E766" t="s">
        <v>1492</v>
      </c>
      <c r="F766" t="s">
        <v>210</v>
      </c>
      <c r="G766">
        <v>6</v>
      </c>
      <c r="H766" t="s">
        <v>5233</v>
      </c>
      <c r="I766" t="s">
        <v>6210</v>
      </c>
      <c r="J766" t="s">
        <v>2546</v>
      </c>
      <c r="K766" t="s">
        <v>1938</v>
      </c>
      <c r="L766" t="s">
        <v>6213</v>
      </c>
      <c r="M766" t="s">
        <v>6215</v>
      </c>
      <c r="N766">
        <v>2.5</v>
      </c>
      <c r="O766">
        <v>29.784999999999997</v>
      </c>
      <c r="P766">
        <v>1.1913999999999998</v>
      </c>
      <c r="Q766">
        <v>2.6806499999999995</v>
      </c>
      <c r="R766" s="5">
        <v>178.70999999999998</v>
      </c>
    </row>
    <row r="767" spans="1:18" x14ac:dyDescent="0.25">
      <c r="A767" t="s">
        <v>1493</v>
      </c>
      <c r="B767" s="7">
        <v>43667</v>
      </c>
      <c r="C767" t="str">
        <f>TEXT(Table3[[#This Row],[Order Date]],"yyyy")</f>
        <v>2019</v>
      </c>
      <c r="D767" t="s">
        <v>6230</v>
      </c>
      <c r="E767" t="s">
        <v>1494</v>
      </c>
      <c r="F767" t="s">
        <v>8</v>
      </c>
      <c r="G767">
        <v>6</v>
      </c>
      <c r="H767" t="s">
        <v>5237</v>
      </c>
      <c r="I767" t="s">
        <v>6210</v>
      </c>
      <c r="J767" t="s">
        <v>2786</v>
      </c>
      <c r="K767" t="s">
        <v>1938</v>
      </c>
      <c r="L767" t="s">
        <v>6211</v>
      </c>
      <c r="M767" t="s">
        <v>6193</v>
      </c>
      <c r="N767">
        <v>1</v>
      </c>
      <c r="O767">
        <v>9.9499999999999993</v>
      </c>
      <c r="P767">
        <v>0.99499999999999988</v>
      </c>
      <c r="Q767">
        <v>0.59699999999999998</v>
      </c>
      <c r="R767" s="5">
        <v>59.699999999999996</v>
      </c>
    </row>
    <row r="768" spans="1:18" x14ac:dyDescent="0.25">
      <c r="A768" t="s">
        <v>1493</v>
      </c>
      <c r="B768" s="7">
        <v>43667</v>
      </c>
      <c r="C768" t="str">
        <f>TEXT(Table3[[#This Row],[Order Date]],"yyyy")</f>
        <v>2019</v>
      </c>
      <c r="D768" t="s">
        <v>6230</v>
      </c>
      <c r="E768" t="s">
        <v>1494</v>
      </c>
      <c r="F768" t="s">
        <v>198</v>
      </c>
      <c r="G768">
        <v>2</v>
      </c>
      <c r="H768" t="s">
        <v>5237</v>
      </c>
      <c r="I768" t="s">
        <v>6210</v>
      </c>
      <c r="J768" t="s">
        <v>2786</v>
      </c>
      <c r="K768" t="s">
        <v>1938</v>
      </c>
      <c r="L768" t="s">
        <v>6213</v>
      </c>
      <c r="M768" t="s">
        <v>6215</v>
      </c>
      <c r="N768">
        <v>0.5</v>
      </c>
      <c r="O768">
        <v>7.77</v>
      </c>
      <c r="P768">
        <v>1.5539999999999998</v>
      </c>
      <c r="Q768">
        <v>0.69929999999999992</v>
      </c>
      <c r="R768" s="5">
        <v>15.54</v>
      </c>
    </row>
    <row r="769" spans="1:18" x14ac:dyDescent="0.25">
      <c r="A769" t="s">
        <v>1495</v>
      </c>
      <c r="B769" s="7">
        <v>44267</v>
      </c>
      <c r="C769" t="str">
        <f>TEXT(Table3[[#This Row],[Order Date]],"yyyy")</f>
        <v>2021</v>
      </c>
      <c r="D769" t="s">
        <v>6234</v>
      </c>
      <c r="E769" t="s">
        <v>1474</v>
      </c>
      <c r="F769" t="s">
        <v>210</v>
      </c>
      <c r="G769">
        <v>3</v>
      </c>
      <c r="H769" t="s">
        <v>5198</v>
      </c>
      <c r="I769" t="s">
        <v>6210</v>
      </c>
      <c r="J769" t="s">
        <v>2321</v>
      </c>
      <c r="K769" t="s">
        <v>1947</v>
      </c>
      <c r="L769" t="s">
        <v>6213</v>
      </c>
      <c r="M769" t="s">
        <v>6215</v>
      </c>
      <c r="N769">
        <v>2.5</v>
      </c>
      <c r="O769">
        <v>29.784999999999997</v>
      </c>
      <c r="P769">
        <v>1.1913999999999998</v>
      </c>
      <c r="Q769">
        <v>2.6806499999999995</v>
      </c>
      <c r="R769" s="5">
        <v>89.35499999999999</v>
      </c>
    </row>
    <row r="770" spans="1:18" x14ac:dyDescent="0.25">
      <c r="A770" t="s">
        <v>1496</v>
      </c>
      <c r="B770" s="7">
        <v>44562</v>
      </c>
      <c r="C770" t="str">
        <f>TEXT(Table3[[#This Row],[Order Date]],"yyyy")</f>
        <v>2022</v>
      </c>
      <c r="D770" t="s">
        <v>6232</v>
      </c>
      <c r="E770" t="s">
        <v>1474</v>
      </c>
      <c r="F770" t="s">
        <v>195</v>
      </c>
      <c r="G770">
        <v>2</v>
      </c>
      <c r="H770" t="s">
        <v>5198</v>
      </c>
      <c r="I770" t="s">
        <v>6210</v>
      </c>
      <c r="J770" t="s">
        <v>2321</v>
      </c>
      <c r="K770" t="s">
        <v>1947</v>
      </c>
      <c r="L770" t="s">
        <v>6211</v>
      </c>
      <c r="M770" t="s">
        <v>6215</v>
      </c>
      <c r="N770">
        <v>1</v>
      </c>
      <c r="O770">
        <v>11.95</v>
      </c>
      <c r="P770">
        <v>1.1949999999999998</v>
      </c>
      <c r="Q770">
        <v>0.71699999999999997</v>
      </c>
      <c r="R770" s="5">
        <v>23.9</v>
      </c>
    </row>
    <row r="771" spans="1:18" x14ac:dyDescent="0.25">
      <c r="A771" t="s">
        <v>1497</v>
      </c>
      <c r="B771" s="7">
        <v>43912</v>
      </c>
      <c r="C771" t="str">
        <f>TEXT(Table3[[#This Row],[Order Date]],"yyyy")</f>
        <v>2020</v>
      </c>
      <c r="D771" t="s">
        <v>6234</v>
      </c>
      <c r="E771" t="s">
        <v>1498</v>
      </c>
      <c r="F771" t="s">
        <v>47</v>
      </c>
      <c r="G771">
        <v>6</v>
      </c>
      <c r="H771" t="s">
        <v>5255</v>
      </c>
      <c r="I771" t="s">
        <v>2112</v>
      </c>
      <c r="J771" t="s">
        <v>2168</v>
      </c>
      <c r="K771" t="s">
        <v>1947</v>
      </c>
      <c r="L771" t="s">
        <v>6211</v>
      </c>
      <c r="M771" t="s">
        <v>6193</v>
      </c>
      <c r="N771">
        <v>2.5</v>
      </c>
      <c r="O771">
        <v>22.884999999999998</v>
      </c>
      <c r="P771">
        <v>0.91539999999999988</v>
      </c>
      <c r="Q771">
        <v>1.3730999999999998</v>
      </c>
      <c r="R771" s="5">
        <v>137.31</v>
      </c>
    </row>
    <row r="772" spans="1:18" x14ac:dyDescent="0.25">
      <c r="A772" t="s">
        <v>1499</v>
      </c>
      <c r="B772" s="7">
        <v>44092</v>
      </c>
      <c r="C772" t="str">
        <f>TEXT(Table3[[#This Row],[Order Date]],"yyyy")</f>
        <v>2020</v>
      </c>
      <c r="D772" t="s">
        <v>6228</v>
      </c>
      <c r="E772" t="s">
        <v>1500</v>
      </c>
      <c r="F772" t="s">
        <v>33</v>
      </c>
      <c r="G772">
        <v>1</v>
      </c>
      <c r="H772" t="s">
        <v>5259</v>
      </c>
      <c r="I772" t="s">
        <v>6210</v>
      </c>
      <c r="J772" t="s">
        <v>1958</v>
      </c>
      <c r="K772" t="s">
        <v>1947</v>
      </c>
      <c r="L772" t="s">
        <v>6213</v>
      </c>
      <c r="M772" t="s">
        <v>6195</v>
      </c>
      <c r="N772">
        <v>1</v>
      </c>
      <c r="O772">
        <v>9.9499999999999993</v>
      </c>
      <c r="P772">
        <v>0.99499999999999988</v>
      </c>
      <c r="Q772">
        <v>0.89549999999999985</v>
      </c>
      <c r="R772" s="5">
        <v>9.9499999999999993</v>
      </c>
    </row>
    <row r="773" spans="1:18" x14ac:dyDescent="0.25">
      <c r="A773" t="s">
        <v>1501</v>
      </c>
      <c r="B773" s="7">
        <v>43468</v>
      </c>
      <c r="C773" t="str">
        <f>TEXT(Table3[[#This Row],[Order Date]],"yyyy")</f>
        <v>2019</v>
      </c>
      <c r="D773" t="s">
        <v>6232</v>
      </c>
      <c r="E773" t="s">
        <v>1502</v>
      </c>
      <c r="F773" t="s">
        <v>163</v>
      </c>
      <c r="G773">
        <v>3</v>
      </c>
      <c r="H773" t="s">
        <v>5262</v>
      </c>
      <c r="I773" t="s">
        <v>6210</v>
      </c>
      <c r="J773" t="s">
        <v>5266</v>
      </c>
      <c r="K773" t="s">
        <v>1947</v>
      </c>
      <c r="L773" t="s">
        <v>6211</v>
      </c>
      <c r="M773" t="s">
        <v>6215</v>
      </c>
      <c r="N773">
        <v>0.5</v>
      </c>
      <c r="O773">
        <v>7.169999999999999</v>
      </c>
      <c r="P773">
        <v>1.4339999999999997</v>
      </c>
      <c r="Q773">
        <v>0.43019999999999992</v>
      </c>
      <c r="R773" s="5">
        <v>21.509999999999998</v>
      </c>
    </row>
    <row r="774" spans="1:18" x14ac:dyDescent="0.25">
      <c r="A774" t="s">
        <v>1503</v>
      </c>
      <c r="B774" s="7">
        <v>44468</v>
      </c>
      <c r="C774" t="str">
        <f>TEXT(Table3[[#This Row],[Order Date]],"yyyy")</f>
        <v>2021</v>
      </c>
      <c r="D774" t="s">
        <v>6228</v>
      </c>
      <c r="E774" t="s">
        <v>1504</v>
      </c>
      <c r="F774" t="s">
        <v>15</v>
      </c>
      <c r="G774">
        <v>6</v>
      </c>
      <c r="H774" t="s">
        <v>5267</v>
      </c>
      <c r="I774" t="s">
        <v>6210</v>
      </c>
      <c r="J774" t="s">
        <v>3311</v>
      </c>
      <c r="K774" t="s">
        <v>1947</v>
      </c>
      <c r="L774" t="s">
        <v>6212</v>
      </c>
      <c r="M774" t="s">
        <v>6193</v>
      </c>
      <c r="N774">
        <v>1</v>
      </c>
      <c r="O774">
        <v>13.75</v>
      </c>
      <c r="P774">
        <v>1.375</v>
      </c>
      <c r="Q774">
        <v>1.5125</v>
      </c>
      <c r="R774" s="5">
        <v>82.5</v>
      </c>
    </row>
    <row r="775" spans="1:18" x14ac:dyDescent="0.25">
      <c r="A775" t="s">
        <v>1505</v>
      </c>
      <c r="B775" s="7">
        <v>44488</v>
      </c>
      <c r="C775" t="str">
        <f>TEXT(Table3[[#This Row],[Order Date]],"yyyy")</f>
        <v>2021</v>
      </c>
      <c r="D775" t="s">
        <v>6235</v>
      </c>
      <c r="E775" t="s">
        <v>1506</v>
      </c>
      <c r="F775" t="s">
        <v>83</v>
      </c>
      <c r="G775">
        <v>2</v>
      </c>
      <c r="H775" t="s">
        <v>5270</v>
      </c>
      <c r="I775" t="s">
        <v>1945</v>
      </c>
      <c r="J775" t="s">
        <v>2310</v>
      </c>
      <c r="K775" t="s">
        <v>1947</v>
      </c>
      <c r="L775" t="s">
        <v>6199</v>
      </c>
      <c r="M775" t="s">
        <v>6193</v>
      </c>
      <c r="N775">
        <v>0.2</v>
      </c>
      <c r="O775">
        <v>4.3650000000000002</v>
      </c>
      <c r="P775">
        <v>2.1825000000000001</v>
      </c>
      <c r="Q775">
        <v>0.56745000000000001</v>
      </c>
      <c r="R775" s="5">
        <v>8.73</v>
      </c>
    </row>
    <row r="776" spans="1:18" x14ac:dyDescent="0.25">
      <c r="A776" t="s">
        <v>1507</v>
      </c>
      <c r="B776" s="7">
        <v>44756</v>
      </c>
      <c r="C776" t="str">
        <f>TEXT(Table3[[#This Row],[Order Date]],"yyyy")</f>
        <v>2022</v>
      </c>
      <c r="D776" t="s">
        <v>6230</v>
      </c>
      <c r="E776" t="s">
        <v>1508</v>
      </c>
      <c r="F776" t="s">
        <v>8</v>
      </c>
      <c r="G776">
        <v>2</v>
      </c>
      <c r="H776" t="s">
        <v>5274</v>
      </c>
      <c r="I776" t="s">
        <v>6210</v>
      </c>
      <c r="J776" t="s">
        <v>2187</v>
      </c>
      <c r="K776" t="s">
        <v>1938</v>
      </c>
      <c r="L776" t="s">
        <v>6211</v>
      </c>
      <c r="M776" t="s">
        <v>6193</v>
      </c>
      <c r="N776">
        <v>1</v>
      </c>
      <c r="O776">
        <v>9.9499999999999993</v>
      </c>
      <c r="P776">
        <v>0.99499999999999988</v>
      </c>
      <c r="Q776">
        <v>0.59699999999999998</v>
      </c>
      <c r="R776" s="5">
        <v>19.899999999999999</v>
      </c>
    </row>
    <row r="777" spans="1:18" x14ac:dyDescent="0.25">
      <c r="A777" t="s">
        <v>1509</v>
      </c>
      <c r="B777" s="7">
        <v>44396</v>
      </c>
      <c r="C777" t="str">
        <f>TEXT(Table3[[#This Row],[Order Date]],"yyyy")</f>
        <v>2021</v>
      </c>
      <c r="D777" t="s">
        <v>6230</v>
      </c>
      <c r="E777" t="s">
        <v>1510</v>
      </c>
      <c r="F777" t="s">
        <v>182</v>
      </c>
      <c r="G777">
        <v>2</v>
      </c>
      <c r="H777" t="s">
        <v>5277</v>
      </c>
      <c r="I777" t="s">
        <v>6210</v>
      </c>
      <c r="J777" t="s">
        <v>3780</v>
      </c>
      <c r="K777" t="s">
        <v>1938</v>
      </c>
      <c r="L777" t="s">
        <v>6212</v>
      </c>
      <c r="M777" t="s">
        <v>6215</v>
      </c>
      <c r="N777">
        <v>0.5</v>
      </c>
      <c r="O777">
        <v>8.91</v>
      </c>
      <c r="P777">
        <v>1.782</v>
      </c>
      <c r="Q777">
        <v>0.98009999999999997</v>
      </c>
      <c r="R777" s="5">
        <v>17.82</v>
      </c>
    </row>
    <row r="778" spans="1:18" x14ac:dyDescent="0.25">
      <c r="A778" t="s">
        <v>1511</v>
      </c>
      <c r="B778" s="7">
        <v>44540</v>
      </c>
      <c r="C778" t="str">
        <f>TEXT(Table3[[#This Row],[Order Date]],"yyyy")</f>
        <v>2021</v>
      </c>
      <c r="D778" t="s">
        <v>6237</v>
      </c>
      <c r="E778" t="s">
        <v>1512</v>
      </c>
      <c r="F778" t="s">
        <v>73</v>
      </c>
      <c r="G778">
        <v>3</v>
      </c>
      <c r="H778" t="s">
        <v>5281</v>
      </c>
      <c r="I778" t="s">
        <v>6210</v>
      </c>
      <c r="J778" t="s">
        <v>2321</v>
      </c>
      <c r="K778" t="s">
        <v>1947</v>
      </c>
      <c r="L778" t="s">
        <v>6213</v>
      </c>
      <c r="M778" t="s">
        <v>6193</v>
      </c>
      <c r="N778">
        <v>0.5</v>
      </c>
      <c r="O778">
        <v>6.75</v>
      </c>
      <c r="P778">
        <v>1.35</v>
      </c>
      <c r="Q778">
        <v>0.60749999999999993</v>
      </c>
      <c r="R778" s="5">
        <v>20.25</v>
      </c>
    </row>
    <row r="779" spans="1:18" x14ac:dyDescent="0.25">
      <c r="A779" t="s">
        <v>1513</v>
      </c>
      <c r="B779" s="7">
        <v>43541</v>
      </c>
      <c r="C779" t="str">
        <f>TEXT(Table3[[#This Row],[Order Date]],"yyyy")</f>
        <v>2019</v>
      </c>
      <c r="D779" t="s">
        <v>6234</v>
      </c>
      <c r="E779" t="s">
        <v>1514</v>
      </c>
      <c r="F779" t="s">
        <v>210</v>
      </c>
      <c r="G779">
        <v>2</v>
      </c>
      <c r="H779" t="s">
        <v>5285</v>
      </c>
      <c r="I779" t="s">
        <v>6210</v>
      </c>
      <c r="J779" t="s">
        <v>3320</v>
      </c>
      <c r="K779" t="s">
        <v>1947</v>
      </c>
      <c r="L779" t="s">
        <v>6213</v>
      </c>
      <c r="M779" t="s">
        <v>6215</v>
      </c>
      <c r="N779">
        <v>2.5</v>
      </c>
      <c r="O779">
        <v>29.784999999999997</v>
      </c>
      <c r="P779">
        <v>1.1913999999999998</v>
      </c>
      <c r="Q779">
        <v>2.6806499999999995</v>
      </c>
      <c r="R779" s="5">
        <v>59.569999999999993</v>
      </c>
    </row>
    <row r="780" spans="1:18" x14ac:dyDescent="0.25">
      <c r="A780" t="s">
        <v>1515</v>
      </c>
      <c r="B780" s="7">
        <v>43889</v>
      </c>
      <c r="C780" t="str">
        <f>TEXT(Table3[[#This Row],[Order Date]],"yyyy")</f>
        <v>2020</v>
      </c>
      <c r="D780" t="s">
        <v>6238</v>
      </c>
      <c r="E780" t="s">
        <v>1516</v>
      </c>
      <c r="F780" t="s">
        <v>89</v>
      </c>
      <c r="G780">
        <v>2</v>
      </c>
      <c r="H780" t="s">
        <v>5321</v>
      </c>
      <c r="I780" t="s">
        <v>6210</v>
      </c>
      <c r="J780" t="s">
        <v>1972</v>
      </c>
      <c r="K780" t="s">
        <v>1938</v>
      </c>
      <c r="L780" t="s">
        <v>6199</v>
      </c>
      <c r="M780" t="s">
        <v>6215</v>
      </c>
      <c r="N780">
        <v>0.5</v>
      </c>
      <c r="O780">
        <v>9.51</v>
      </c>
      <c r="P780">
        <v>1.9019999999999999</v>
      </c>
      <c r="Q780">
        <v>1.2363</v>
      </c>
      <c r="R780" s="5">
        <v>19.02</v>
      </c>
    </row>
    <row r="781" spans="1:18" x14ac:dyDescent="0.25">
      <c r="A781" t="s">
        <v>1517</v>
      </c>
      <c r="B781" s="7">
        <v>43985</v>
      </c>
      <c r="C781" t="str">
        <f>TEXT(Table3[[#This Row],[Order Date]],"yyyy")</f>
        <v>2020</v>
      </c>
      <c r="D781" t="s">
        <v>6229</v>
      </c>
      <c r="E781" t="s">
        <v>1518</v>
      </c>
      <c r="F781" t="s">
        <v>19</v>
      </c>
      <c r="G781">
        <v>6</v>
      </c>
      <c r="H781" t="s">
        <v>5293</v>
      </c>
      <c r="I781" t="s">
        <v>6210</v>
      </c>
      <c r="J781" t="s">
        <v>2709</v>
      </c>
      <c r="K781" t="s">
        <v>1938</v>
      </c>
      <c r="L781" t="s">
        <v>6199</v>
      </c>
      <c r="M781" t="s">
        <v>6195</v>
      </c>
      <c r="N781">
        <v>1</v>
      </c>
      <c r="O781">
        <v>12.95</v>
      </c>
      <c r="P781">
        <v>1.2949999999999999</v>
      </c>
      <c r="Q781">
        <v>1.6835</v>
      </c>
      <c r="R781" s="5">
        <v>77.699999999999989</v>
      </c>
    </row>
    <row r="782" spans="1:18" x14ac:dyDescent="0.25">
      <c r="A782" t="s">
        <v>1519</v>
      </c>
      <c r="B782" s="7">
        <v>43883</v>
      </c>
      <c r="C782" t="str">
        <f>TEXT(Table3[[#This Row],[Order Date]],"yyyy")</f>
        <v>2020</v>
      </c>
      <c r="D782" t="s">
        <v>6238</v>
      </c>
      <c r="E782" t="s">
        <v>1520</v>
      </c>
      <c r="F782" t="s">
        <v>15</v>
      </c>
      <c r="G782">
        <v>3</v>
      </c>
      <c r="H782" t="s">
        <v>5297</v>
      </c>
      <c r="I782" t="s">
        <v>6210</v>
      </c>
      <c r="J782" t="s">
        <v>2133</v>
      </c>
      <c r="K782" t="s">
        <v>1947</v>
      </c>
      <c r="L782" t="s">
        <v>6212</v>
      </c>
      <c r="M782" t="s">
        <v>6193</v>
      </c>
      <c r="N782">
        <v>1</v>
      </c>
      <c r="O782">
        <v>13.75</v>
      </c>
      <c r="P782">
        <v>1.375</v>
      </c>
      <c r="Q782">
        <v>1.5125</v>
      </c>
      <c r="R782" s="5">
        <v>41.25</v>
      </c>
    </row>
    <row r="783" spans="1:18" x14ac:dyDescent="0.25">
      <c r="A783" t="s">
        <v>1521</v>
      </c>
      <c r="B783" s="7">
        <v>43778</v>
      </c>
      <c r="C783" t="str">
        <f>TEXT(Table3[[#This Row],[Order Date]],"yyyy")</f>
        <v>2019</v>
      </c>
      <c r="D783" t="s">
        <v>6239</v>
      </c>
      <c r="E783" t="s">
        <v>1522</v>
      </c>
      <c r="F783" t="s">
        <v>110</v>
      </c>
      <c r="G783">
        <v>4</v>
      </c>
      <c r="H783" t="s">
        <v>5300</v>
      </c>
      <c r="I783" t="s">
        <v>6210</v>
      </c>
      <c r="J783" t="s">
        <v>3677</v>
      </c>
      <c r="K783" t="s">
        <v>1947</v>
      </c>
      <c r="L783" t="s">
        <v>6199</v>
      </c>
      <c r="M783" t="s">
        <v>6215</v>
      </c>
      <c r="N783">
        <v>2.5</v>
      </c>
      <c r="O783">
        <v>36.454999999999998</v>
      </c>
      <c r="P783">
        <v>1.4581999999999999</v>
      </c>
      <c r="Q783">
        <v>4.7391499999999995</v>
      </c>
      <c r="R783" s="5">
        <v>145.82</v>
      </c>
    </row>
    <row r="784" spans="1:18" x14ac:dyDescent="0.25">
      <c r="A784" t="s">
        <v>1523</v>
      </c>
      <c r="B784" s="7">
        <v>43897</v>
      </c>
      <c r="C784" t="str">
        <f>TEXT(Table3[[#This Row],[Order Date]],"yyyy")</f>
        <v>2020</v>
      </c>
      <c r="D784" t="s">
        <v>6234</v>
      </c>
      <c r="E784" t="s">
        <v>1524</v>
      </c>
      <c r="F784" t="s">
        <v>260</v>
      </c>
      <c r="G784">
        <v>6</v>
      </c>
      <c r="H784" t="s">
        <v>5304</v>
      </c>
      <c r="I784" t="s">
        <v>1945</v>
      </c>
      <c r="J784" t="s">
        <v>5308</v>
      </c>
      <c r="K784" t="s">
        <v>1947</v>
      </c>
      <c r="L784" t="s">
        <v>6212</v>
      </c>
      <c r="M784" t="s">
        <v>6215</v>
      </c>
      <c r="N784">
        <v>0.2</v>
      </c>
      <c r="O784">
        <v>4.4550000000000001</v>
      </c>
      <c r="P784">
        <v>2.2275</v>
      </c>
      <c r="Q784">
        <v>0.49004999999999999</v>
      </c>
      <c r="R784" s="5">
        <v>26.73</v>
      </c>
    </row>
    <row r="785" spans="1:18" x14ac:dyDescent="0.25">
      <c r="A785" t="s">
        <v>1525</v>
      </c>
      <c r="B785" s="7">
        <v>44312</v>
      </c>
      <c r="C785" t="str">
        <f>TEXT(Table3[[#This Row],[Order Date]],"yyyy")</f>
        <v>2021</v>
      </c>
      <c r="D785" t="s">
        <v>6236</v>
      </c>
      <c r="E785" t="s">
        <v>1526</v>
      </c>
      <c r="F785" t="s">
        <v>84</v>
      </c>
      <c r="G785">
        <v>5</v>
      </c>
      <c r="H785" t="s">
        <v>5310</v>
      </c>
      <c r="I785" t="s">
        <v>6210</v>
      </c>
      <c r="J785" t="s">
        <v>2216</v>
      </c>
      <c r="K785" t="s">
        <v>1938</v>
      </c>
      <c r="L785" t="s">
        <v>6199</v>
      </c>
      <c r="M785" t="s">
        <v>6193</v>
      </c>
      <c r="N785">
        <v>0.5</v>
      </c>
      <c r="O785">
        <v>8.73</v>
      </c>
      <c r="P785">
        <v>1.746</v>
      </c>
      <c r="Q785">
        <v>1.1349</v>
      </c>
      <c r="R785" s="5">
        <v>43.650000000000006</v>
      </c>
    </row>
    <row r="786" spans="1:18" x14ac:dyDescent="0.25">
      <c r="A786" t="s">
        <v>1527</v>
      </c>
      <c r="B786" s="7">
        <v>44511</v>
      </c>
      <c r="C786" t="str">
        <f>TEXT(Table3[[#This Row],[Order Date]],"yyyy")</f>
        <v>2021</v>
      </c>
      <c r="D786" t="s">
        <v>6239</v>
      </c>
      <c r="E786" t="s">
        <v>1528</v>
      </c>
      <c r="F786" t="s">
        <v>138</v>
      </c>
      <c r="G786">
        <v>2</v>
      </c>
      <c r="H786" t="s">
        <v>5314</v>
      </c>
      <c r="I786" t="s">
        <v>6210</v>
      </c>
      <c r="J786" t="s">
        <v>2502</v>
      </c>
      <c r="K786" t="s">
        <v>1947</v>
      </c>
      <c r="L786" t="s">
        <v>6199</v>
      </c>
      <c r="M786" t="s">
        <v>6215</v>
      </c>
      <c r="N786">
        <v>1</v>
      </c>
      <c r="O786">
        <v>15.85</v>
      </c>
      <c r="P786">
        <v>1.585</v>
      </c>
      <c r="Q786">
        <v>2.0605000000000002</v>
      </c>
      <c r="R786" s="5">
        <v>31.7</v>
      </c>
    </row>
    <row r="787" spans="1:18" x14ac:dyDescent="0.25">
      <c r="A787" t="s">
        <v>1529</v>
      </c>
      <c r="B787" s="7">
        <v>44362</v>
      </c>
      <c r="C787" t="str">
        <f>TEXT(Table3[[#This Row],[Order Date]],"yyyy")</f>
        <v>2021</v>
      </c>
      <c r="D787" t="s">
        <v>6229</v>
      </c>
      <c r="E787" t="s">
        <v>1530</v>
      </c>
      <c r="F787" t="s">
        <v>124</v>
      </c>
      <c r="G787">
        <v>1</v>
      </c>
      <c r="H787" t="s">
        <v>5317</v>
      </c>
      <c r="I787" t="s">
        <v>6210</v>
      </c>
      <c r="J787" t="s">
        <v>3576</v>
      </c>
      <c r="K787" t="s">
        <v>1947</v>
      </c>
      <c r="L787" t="s">
        <v>6213</v>
      </c>
      <c r="M787" t="s">
        <v>6195</v>
      </c>
      <c r="N787">
        <v>2.5</v>
      </c>
      <c r="O787">
        <v>22.884999999999998</v>
      </c>
      <c r="P787">
        <v>0.91539999999999988</v>
      </c>
      <c r="Q787">
        <v>2.0596499999999995</v>
      </c>
      <c r="R787" s="5">
        <v>22.884999999999998</v>
      </c>
    </row>
    <row r="788" spans="1:18" x14ac:dyDescent="0.25">
      <c r="A788" t="s">
        <v>1531</v>
      </c>
      <c r="B788" s="7">
        <v>43888</v>
      </c>
      <c r="C788" t="str">
        <f>TEXT(Table3[[#This Row],[Order Date]],"yyyy")</f>
        <v>2020</v>
      </c>
      <c r="D788" t="s">
        <v>6238</v>
      </c>
      <c r="E788" t="s">
        <v>1516</v>
      </c>
      <c r="F788" t="s">
        <v>536</v>
      </c>
      <c r="G788">
        <v>1</v>
      </c>
      <c r="H788" t="s">
        <v>5321</v>
      </c>
      <c r="I788" t="s">
        <v>6210</v>
      </c>
      <c r="J788" t="s">
        <v>1972</v>
      </c>
      <c r="K788" t="s">
        <v>1938</v>
      </c>
      <c r="L788" t="s">
        <v>6212</v>
      </c>
      <c r="M788" t="s">
        <v>6195</v>
      </c>
      <c r="N788">
        <v>2.5</v>
      </c>
      <c r="O788">
        <v>27.945</v>
      </c>
      <c r="P788">
        <v>1.1177999999999999</v>
      </c>
      <c r="Q788">
        <v>3.07395</v>
      </c>
      <c r="R788" s="5">
        <v>27.945</v>
      </c>
    </row>
    <row r="789" spans="1:18" x14ac:dyDescent="0.25">
      <c r="A789" t="s">
        <v>1532</v>
      </c>
      <c r="B789" s="7">
        <v>44305</v>
      </c>
      <c r="C789" t="str">
        <f>TEXT(Table3[[#This Row],[Order Date]],"yyyy")</f>
        <v>2021</v>
      </c>
      <c r="D789" t="s">
        <v>6236</v>
      </c>
      <c r="E789" t="s">
        <v>1533</v>
      </c>
      <c r="F789" t="s">
        <v>15</v>
      </c>
      <c r="G789">
        <v>6</v>
      </c>
      <c r="H789" t="s">
        <v>5325</v>
      </c>
      <c r="I789" t="s">
        <v>6210</v>
      </c>
      <c r="J789" t="s">
        <v>2248</v>
      </c>
      <c r="K789" t="s">
        <v>1938</v>
      </c>
      <c r="L789" t="s">
        <v>6212</v>
      </c>
      <c r="M789" t="s">
        <v>6193</v>
      </c>
      <c r="N789">
        <v>1</v>
      </c>
      <c r="O789">
        <v>13.75</v>
      </c>
      <c r="P789">
        <v>1.375</v>
      </c>
      <c r="Q789">
        <v>1.5125</v>
      </c>
      <c r="R789" s="5">
        <v>82.5</v>
      </c>
    </row>
    <row r="790" spans="1:18" x14ac:dyDescent="0.25">
      <c r="A790" t="s">
        <v>1534</v>
      </c>
      <c r="B790" s="7">
        <v>44771</v>
      </c>
      <c r="C790" t="str">
        <f>TEXT(Table3[[#This Row],[Order Date]],"yyyy")</f>
        <v>2022</v>
      </c>
      <c r="D790" t="s">
        <v>6230</v>
      </c>
      <c r="E790" t="s">
        <v>1535</v>
      </c>
      <c r="F790" t="s">
        <v>47</v>
      </c>
      <c r="G790">
        <v>2</v>
      </c>
      <c r="H790" t="s">
        <v>5328</v>
      </c>
      <c r="I790" t="s">
        <v>1945</v>
      </c>
      <c r="J790" t="s">
        <v>5332</v>
      </c>
      <c r="K790" t="s">
        <v>1938</v>
      </c>
      <c r="L790" t="s">
        <v>6211</v>
      </c>
      <c r="M790" t="s">
        <v>6193</v>
      </c>
      <c r="N790">
        <v>2.5</v>
      </c>
      <c r="O790">
        <v>22.884999999999998</v>
      </c>
      <c r="P790">
        <v>0.91539999999999988</v>
      </c>
      <c r="Q790">
        <v>1.3730999999999998</v>
      </c>
      <c r="R790" s="5">
        <v>45.769999999999996</v>
      </c>
    </row>
    <row r="791" spans="1:18" x14ac:dyDescent="0.25">
      <c r="A791" t="s">
        <v>1536</v>
      </c>
      <c r="B791" s="7">
        <v>43485</v>
      </c>
      <c r="C791" t="str">
        <f>TEXT(Table3[[#This Row],[Order Date]],"yyyy")</f>
        <v>2019</v>
      </c>
      <c r="D791" t="s">
        <v>6232</v>
      </c>
      <c r="E791" t="s">
        <v>1537</v>
      </c>
      <c r="F791" t="s">
        <v>12</v>
      </c>
      <c r="G791">
        <v>6</v>
      </c>
      <c r="H791" t="s">
        <v>5334</v>
      </c>
      <c r="I791" t="s">
        <v>6210</v>
      </c>
      <c r="J791" t="s">
        <v>2000</v>
      </c>
      <c r="K791" t="s">
        <v>1947</v>
      </c>
      <c r="L791" t="s">
        <v>6213</v>
      </c>
      <c r="M791" t="s">
        <v>6215</v>
      </c>
      <c r="N791">
        <v>1</v>
      </c>
      <c r="O791">
        <v>12.95</v>
      </c>
      <c r="P791">
        <v>1.2949999999999999</v>
      </c>
      <c r="Q791">
        <v>1.1655</v>
      </c>
      <c r="R791" s="5">
        <v>77.699999999999989</v>
      </c>
    </row>
    <row r="792" spans="1:18" x14ac:dyDescent="0.25">
      <c r="A792" t="s">
        <v>1538</v>
      </c>
      <c r="B792" s="7">
        <v>44613</v>
      </c>
      <c r="C792" t="str">
        <f>TEXT(Table3[[#This Row],[Order Date]],"yyyy")</f>
        <v>2022</v>
      </c>
      <c r="D792" t="s">
        <v>6238</v>
      </c>
      <c r="E792" t="s">
        <v>1539</v>
      </c>
      <c r="F792" t="s">
        <v>198</v>
      </c>
      <c r="G792">
        <v>3</v>
      </c>
      <c r="H792" t="s">
        <v>5338</v>
      </c>
      <c r="I792" t="s">
        <v>6210</v>
      </c>
      <c r="J792" t="s">
        <v>5342</v>
      </c>
      <c r="K792" t="s">
        <v>1947</v>
      </c>
      <c r="L792" t="s">
        <v>6213</v>
      </c>
      <c r="M792" t="s">
        <v>6215</v>
      </c>
      <c r="N792">
        <v>0.5</v>
      </c>
      <c r="O792">
        <v>7.77</v>
      </c>
      <c r="P792">
        <v>1.5539999999999998</v>
      </c>
      <c r="Q792">
        <v>0.69929999999999992</v>
      </c>
      <c r="R792" s="5">
        <v>23.31</v>
      </c>
    </row>
    <row r="793" spans="1:18" x14ac:dyDescent="0.25">
      <c r="A793" t="s">
        <v>1540</v>
      </c>
      <c r="B793" s="7">
        <v>43954</v>
      </c>
      <c r="C793" t="str">
        <f>TEXT(Table3[[#This Row],[Order Date]],"yyyy")</f>
        <v>2020</v>
      </c>
      <c r="D793" t="s">
        <v>6233</v>
      </c>
      <c r="E793" t="s">
        <v>1541</v>
      </c>
      <c r="F793" t="s">
        <v>25</v>
      </c>
      <c r="G793">
        <v>5</v>
      </c>
      <c r="H793" t="s">
        <v>5343</v>
      </c>
      <c r="I793" t="s">
        <v>6210</v>
      </c>
      <c r="J793" t="s">
        <v>2664</v>
      </c>
      <c r="K793" t="s">
        <v>1938</v>
      </c>
      <c r="L793" t="s">
        <v>6199</v>
      </c>
      <c r="M793" t="s">
        <v>6215</v>
      </c>
      <c r="N793">
        <v>0.2</v>
      </c>
      <c r="O793">
        <v>4.7549999999999999</v>
      </c>
      <c r="P793">
        <v>2.3774999999999999</v>
      </c>
      <c r="Q793">
        <v>0.61814999999999998</v>
      </c>
      <c r="R793" s="5">
        <v>23.774999999999999</v>
      </c>
    </row>
    <row r="794" spans="1:18" x14ac:dyDescent="0.25">
      <c r="A794" t="s">
        <v>1542</v>
      </c>
      <c r="B794" s="7">
        <v>43545</v>
      </c>
      <c r="C794" t="str">
        <f>TEXT(Table3[[#This Row],[Order Date]],"yyyy")</f>
        <v>2019</v>
      </c>
      <c r="D794" t="s">
        <v>6234</v>
      </c>
      <c r="E794" t="s">
        <v>1543</v>
      </c>
      <c r="F794" t="s">
        <v>84</v>
      </c>
      <c r="G794">
        <v>6</v>
      </c>
      <c r="H794" t="s">
        <v>5347</v>
      </c>
      <c r="I794" t="s">
        <v>2112</v>
      </c>
      <c r="J794" t="s">
        <v>5351</v>
      </c>
      <c r="K794" t="s">
        <v>1938</v>
      </c>
      <c r="L794" t="s">
        <v>6199</v>
      </c>
      <c r="M794" t="s">
        <v>6193</v>
      </c>
      <c r="N794">
        <v>0.5</v>
      </c>
      <c r="O794">
        <v>8.73</v>
      </c>
      <c r="P794">
        <v>1.746</v>
      </c>
      <c r="Q794">
        <v>1.1349</v>
      </c>
      <c r="R794" s="5">
        <v>52.38</v>
      </c>
    </row>
    <row r="795" spans="1:18" x14ac:dyDescent="0.25">
      <c r="A795" t="s">
        <v>1544</v>
      </c>
      <c r="B795" s="7">
        <v>43629</v>
      </c>
      <c r="C795" t="str">
        <f>TEXT(Table3[[#This Row],[Order Date]],"yyyy")</f>
        <v>2019</v>
      </c>
      <c r="D795" t="s">
        <v>6229</v>
      </c>
      <c r="E795" t="s">
        <v>1545</v>
      </c>
      <c r="F795" t="s">
        <v>188</v>
      </c>
      <c r="G795">
        <v>5</v>
      </c>
      <c r="H795" t="s">
        <v>5353</v>
      </c>
      <c r="I795" t="s">
        <v>6210</v>
      </c>
      <c r="J795" t="s">
        <v>2639</v>
      </c>
      <c r="K795" t="s">
        <v>1947</v>
      </c>
      <c r="L795" t="s">
        <v>6211</v>
      </c>
      <c r="M795" t="s">
        <v>6215</v>
      </c>
      <c r="N795">
        <v>0.2</v>
      </c>
      <c r="O795">
        <v>3.5849999999999995</v>
      </c>
      <c r="P795">
        <v>1.7924999999999998</v>
      </c>
      <c r="Q795">
        <v>0.21509999999999996</v>
      </c>
      <c r="R795" s="5">
        <v>17.924999999999997</v>
      </c>
    </row>
    <row r="796" spans="1:18" x14ac:dyDescent="0.25">
      <c r="A796" t="s">
        <v>1546</v>
      </c>
      <c r="B796" s="7">
        <v>43987</v>
      </c>
      <c r="C796" t="str">
        <f>TEXT(Table3[[#This Row],[Order Date]],"yyyy")</f>
        <v>2020</v>
      </c>
      <c r="D796" t="s">
        <v>6229</v>
      </c>
      <c r="E796" t="s">
        <v>1547</v>
      </c>
      <c r="F796" t="s">
        <v>210</v>
      </c>
      <c r="G796">
        <v>5</v>
      </c>
      <c r="H796" t="s">
        <v>5357</v>
      </c>
      <c r="I796" t="s">
        <v>6210</v>
      </c>
      <c r="J796" t="s">
        <v>5361</v>
      </c>
      <c r="K796" t="s">
        <v>1947</v>
      </c>
      <c r="L796" t="s">
        <v>6213</v>
      </c>
      <c r="M796" t="s">
        <v>6215</v>
      </c>
      <c r="N796">
        <v>2.5</v>
      </c>
      <c r="O796">
        <v>29.784999999999997</v>
      </c>
      <c r="P796">
        <v>1.1913999999999998</v>
      </c>
      <c r="Q796">
        <v>2.6806499999999995</v>
      </c>
      <c r="R796" s="5">
        <v>148.92499999999998</v>
      </c>
    </row>
    <row r="797" spans="1:18" x14ac:dyDescent="0.25">
      <c r="A797" t="s">
        <v>1548</v>
      </c>
      <c r="B797" s="7">
        <v>43540</v>
      </c>
      <c r="C797" t="str">
        <f>TEXT(Table3[[#This Row],[Order Date]],"yyyy")</f>
        <v>2019</v>
      </c>
      <c r="D797" t="s">
        <v>6234</v>
      </c>
      <c r="E797" t="s">
        <v>1549</v>
      </c>
      <c r="F797" t="s">
        <v>163</v>
      </c>
      <c r="G797">
        <v>4</v>
      </c>
      <c r="H797" t="s">
        <v>5362</v>
      </c>
      <c r="I797" t="s">
        <v>6210</v>
      </c>
      <c r="J797" t="s">
        <v>3584</v>
      </c>
      <c r="K797" t="s">
        <v>1947</v>
      </c>
      <c r="L797" t="s">
        <v>6211</v>
      </c>
      <c r="M797" t="s">
        <v>6215</v>
      </c>
      <c r="N797">
        <v>0.5</v>
      </c>
      <c r="O797">
        <v>7.169999999999999</v>
      </c>
      <c r="P797">
        <v>1.4339999999999997</v>
      </c>
      <c r="Q797">
        <v>0.43019999999999992</v>
      </c>
      <c r="R797" s="5">
        <v>28.679999999999996</v>
      </c>
    </row>
    <row r="798" spans="1:18" x14ac:dyDescent="0.25">
      <c r="A798" t="s">
        <v>1550</v>
      </c>
      <c r="B798" s="7">
        <v>44533</v>
      </c>
      <c r="C798" t="str">
        <f>TEXT(Table3[[#This Row],[Order Date]],"yyyy")</f>
        <v>2021</v>
      </c>
      <c r="D798" t="s">
        <v>6237</v>
      </c>
      <c r="E798" t="s">
        <v>1551</v>
      </c>
      <c r="F798" t="s">
        <v>89</v>
      </c>
      <c r="G798">
        <v>1</v>
      </c>
      <c r="H798" t="s">
        <v>5366</v>
      </c>
      <c r="I798" t="s">
        <v>6210</v>
      </c>
      <c r="J798" t="s">
        <v>3315</v>
      </c>
      <c r="K798" t="s">
        <v>1947</v>
      </c>
      <c r="L798" t="s">
        <v>6199</v>
      </c>
      <c r="M798" t="s">
        <v>6215</v>
      </c>
      <c r="N798">
        <v>0.5</v>
      </c>
      <c r="O798">
        <v>9.51</v>
      </c>
      <c r="P798">
        <v>1.9019999999999999</v>
      </c>
      <c r="Q798">
        <v>1.2363</v>
      </c>
      <c r="R798" s="5">
        <v>9.51</v>
      </c>
    </row>
    <row r="799" spans="1:18" x14ac:dyDescent="0.25">
      <c r="A799" t="s">
        <v>1552</v>
      </c>
      <c r="B799" s="7">
        <v>44751</v>
      </c>
      <c r="C799" t="str">
        <f>TEXT(Table3[[#This Row],[Order Date]],"yyyy")</f>
        <v>2022</v>
      </c>
      <c r="D799" t="s">
        <v>6230</v>
      </c>
      <c r="E799" t="s">
        <v>1553</v>
      </c>
      <c r="F799" t="s">
        <v>198</v>
      </c>
      <c r="G799">
        <v>4</v>
      </c>
      <c r="H799" t="s">
        <v>5369</v>
      </c>
      <c r="I799" t="s">
        <v>6210</v>
      </c>
      <c r="J799" t="s">
        <v>2216</v>
      </c>
      <c r="K799" t="s">
        <v>1947</v>
      </c>
      <c r="L799" t="s">
        <v>6213</v>
      </c>
      <c r="M799" t="s">
        <v>6215</v>
      </c>
      <c r="N799">
        <v>0.5</v>
      </c>
      <c r="O799">
        <v>7.77</v>
      </c>
      <c r="P799">
        <v>1.5539999999999998</v>
      </c>
      <c r="Q799">
        <v>0.69929999999999992</v>
      </c>
      <c r="R799" s="5">
        <v>31.08</v>
      </c>
    </row>
    <row r="800" spans="1:18" x14ac:dyDescent="0.25">
      <c r="A800" t="s">
        <v>1554</v>
      </c>
      <c r="B800" s="7">
        <v>43950</v>
      </c>
      <c r="C800" t="str">
        <f>TEXT(Table3[[#This Row],[Order Date]],"yyyy")</f>
        <v>2020</v>
      </c>
      <c r="D800" t="s">
        <v>6236</v>
      </c>
      <c r="E800" t="s">
        <v>1555</v>
      </c>
      <c r="F800" t="s">
        <v>107</v>
      </c>
      <c r="G800">
        <v>3</v>
      </c>
      <c r="H800" t="s">
        <v>5373</v>
      </c>
      <c r="I800" t="s">
        <v>6210</v>
      </c>
      <c r="J800" t="s">
        <v>1991</v>
      </c>
      <c r="K800" t="s">
        <v>1938</v>
      </c>
      <c r="L800" t="s">
        <v>6211</v>
      </c>
      <c r="M800" t="s">
        <v>6195</v>
      </c>
      <c r="N800">
        <v>0.2</v>
      </c>
      <c r="O800">
        <v>2.6849999999999996</v>
      </c>
      <c r="P800">
        <v>1.3424999999999998</v>
      </c>
      <c r="Q800">
        <v>0.16109999999999997</v>
      </c>
      <c r="R800" s="5">
        <v>8.0549999999999997</v>
      </c>
    </row>
    <row r="801" spans="1:18" x14ac:dyDescent="0.25">
      <c r="A801" t="s">
        <v>1556</v>
      </c>
      <c r="B801" s="7">
        <v>44588</v>
      </c>
      <c r="C801" t="str">
        <f>TEXT(Table3[[#This Row],[Order Date]],"yyyy")</f>
        <v>2022</v>
      </c>
      <c r="D801" t="s">
        <v>6232</v>
      </c>
      <c r="E801" t="s">
        <v>1557</v>
      </c>
      <c r="F801" t="s">
        <v>251</v>
      </c>
      <c r="G801">
        <v>3</v>
      </c>
      <c r="H801" t="s">
        <v>5377</v>
      </c>
      <c r="I801" t="s">
        <v>6210</v>
      </c>
      <c r="J801" t="s">
        <v>2182</v>
      </c>
      <c r="K801" t="s">
        <v>1938</v>
      </c>
      <c r="L801" t="s">
        <v>6212</v>
      </c>
      <c r="M801" t="s">
        <v>6195</v>
      </c>
      <c r="N801">
        <v>1</v>
      </c>
      <c r="O801">
        <v>12.15</v>
      </c>
      <c r="P801">
        <v>1.2150000000000001</v>
      </c>
      <c r="Q801">
        <v>1.3365</v>
      </c>
      <c r="R801" s="5">
        <v>36.450000000000003</v>
      </c>
    </row>
    <row r="802" spans="1:18" x14ac:dyDescent="0.25">
      <c r="A802" t="s">
        <v>1558</v>
      </c>
      <c r="B802" s="7">
        <v>44240</v>
      </c>
      <c r="C802" t="str">
        <f>TEXT(Table3[[#This Row],[Order Date]],"yyyy")</f>
        <v>2021</v>
      </c>
      <c r="D802" t="s">
        <v>6238</v>
      </c>
      <c r="E802" t="s">
        <v>1559</v>
      </c>
      <c r="F802" t="s">
        <v>107</v>
      </c>
      <c r="G802">
        <v>6</v>
      </c>
      <c r="H802" t="s">
        <v>5379</v>
      </c>
      <c r="I802" t="s">
        <v>1945</v>
      </c>
      <c r="J802" t="s">
        <v>4411</v>
      </c>
      <c r="K802" t="s">
        <v>1947</v>
      </c>
      <c r="L802" t="s">
        <v>6211</v>
      </c>
      <c r="M802" t="s">
        <v>6195</v>
      </c>
      <c r="N802">
        <v>0.2</v>
      </c>
      <c r="O802">
        <v>2.6849999999999996</v>
      </c>
      <c r="P802">
        <v>1.3424999999999998</v>
      </c>
      <c r="Q802">
        <v>0.16109999999999997</v>
      </c>
      <c r="R802" s="5">
        <v>16.11</v>
      </c>
    </row>
    <row r="803" spans="1:18" x14ac:dyDescent="0.25">
      <c r="A803" t="s">
        <v>1560</v>
      </c>
      <c r="B803" s="7">
        <v>44025</v>
      </c>
      <c r="C803" t="str">
        <f>TEXT(Table3[[#This Row],[Order Date]],"yyyy")</f>
        <v>2020</v>
      </c>
      <c r="D803" t="s">
        <v>6230</v>
      </c>
      <c r="E803" t="s">
        <v>1561</v>
      </c>
      <c r="F803" t="s">
        <v>41</v>
      </c>
      <c r="G803">
        <v>2</v>
      </c>
      <c r="H803" t="s">
        <v>5383</v>
      </c>
      <c r="I803" t="s">
        <v>6210</v>
      </c>
      <c r="J803" t="s">
        <v>5342</v>
      </c>
      <c r="K803" t="s">
        <v>1938</v>
      </c>
      <c r="L803" t="s">
        <v>6211</v>
      </c>
      <c r="M803" t="s">
        <v>6195</v>
      </c>
      <c r="N803">
        <v>2.5</v>
      </c>
      <c r="O803">
        <v>20.584999999999997</v>
      </c>
      <c r="P803">
        <v>0.82339999999999991</v>
      </c>
      <c r="Q803">
        <v>1.2350999999999999</v>
      </c>
      <c r="R803" s="5">
        <v>41.169999999999995</v>
      </c>
    </row>
    <row r="804" spans="1:18" x14ac:dyDescent="0.25">
      <c r="A804" t="s">
        <v>1562</v>
      </c>
      <c r="B804" s="7">
        <v>43902</v>
      </c>
      <c r="C804" t="str">
        <f>TEXT(Table3[[#This Row],[Order Date]],"yyyy")</f>
        <v>2020</v>
      </c>
      <c r="D804" t="s">
        <v>6234</v>
      </c>
      <c r="E804" t="s">
        <v>1563</v>
      </c>
      <c r="F804" t="s">
        <v>107</v>
      </c>
      <c r="G804">
        <v>4</v>
      </c>
      <c r="H804" t="s">
        <v>5387</v>
      </c>
      <c r="I804" t="s">
        <v>6210</v>
      </c>
      <c r="J804" t="s">
        <v>5391</v>
      </c>
      <c r="K804" t="s">
        <v>1947</v>
      </c>
      <c r="L804" t="s">
        <v>6211</v>
      </c>
      <c r="M804" t="s">
        <v>6195</v>
      </c>
      <c r="N804">
        <v>0.2</v>
      </c>
      <c r="O804">
        <v>2.6849999999999996</v>
      </c>
      <c r="P804">
        <v>1.3424999999999998</v>
      </c>
      <c r="Q804">
        <v>0.16109999999999997</v>
      </c>
      <c r="R804" s="5">
        <v>10.739999999999998</v>
      </c>
    </row>
    <row r="805" spans="1:18" x14ac:dyDescent="0.25">
      <c r="A805" t="s">
        <v>1564</v>
      </c>
      <c r="B805" s="7">
        <v>43955</v>
      </c>
      <c r="C805" t="str">
        <f>TEXT(Table3[[#This Row],[Order Date]],"yyyy")</f>
        <v>2020</v>
      </c>
      <c r="D805" t="s">
        <v>6233</v>
      </c>
      <c r="E805" t="s">
        <v>1565</v>
      </c>
      <c r="F805" t="s">
        <v>118</v>
      </c>
      <c r="G805">
        <v>4</v>
      </c>
      <c r="H805" t="s">
        <v>5392</v>
      </c>
      <c r="I805" t="s">
        <v>6210</v>
      </c>
      <c r="J805" t="s">
        <v>2994</v>
      </c>
      <c r="K805" t="s">
        <v>1947</v>
      </c>
      <c r="L805" t="s">
        <v>6212</v>
      </c>
      <c r="M805" t="s">
        <v>6193</v>
      </c>
      <c r="N805">
        <v>2.5</v>
      </c>
      <c r="O805">
        <v>31.624999999999996</v>
      </c>
      <c r="P805">
        <v>1.2649999999999999</v>
      </c>
      <c r="Q805">
        <v>3.4787499999999998</v>
      </c>
      <c r="R805" s="5">
        <v>126.49999999999999</v>
      </c>
    </row>
    <row r="806" spans="1:18" x14ac:dyDescent="0.25">
      <c r="A806" t="s">
        <v>1566</v>
      </c>
      <c r="B806" s="7">
        <v>44289</v>
      </c>
      <c r="C806" t="str">
        <f>TEXT(Table3[[#This Row],[Order Date]],"yyyy")</f>
        <v>2021</v>
      </c>
      <c r="D806" t="s">
        <v>6236</v>
      </c>
      <c r="E806" t="s">
        <v>1567</v>
      </c>
      <c r="F806" t="s">
        <v>195</v>
      </c>
      <c r="G806">
        <v>2</v>
      </c>
      <c r="H806" t="s">
        <v>5395</v>
      </c>
      <c r="I806" t="s">
        <v>2112</v>
      </c>
      <c r="J806" t="s">
        <v>3159</v>
      </c>
      <c r="K806" t="s">
        <v>1947</v>
      </c>
      <c r="L806" t="s">
        <v>6211</v>
      </c>
      <c r="M806" t="s">
        <v>6215</v>
      </c>
      <c r="N806">
        <v>1</v>
      </c>
      <c r="O806">
        <v>11.95</v>
      </c>
      <c r="P806">
        <v>1.1949999999999998</v>
      </c>
      <c r="Q806">
        <v>0.71699999999999997</v>
      </c>
      <c r="R806" s="5">
        <v>23.9</v>
      </c>
    </row>
    <row r="807" spans="1:18" x14ac:dyDescent="0.25">
      <c r="A807" t="s">
        <v>1568</v>
      </c>
      <c r="B807" s="7">
        <v>44713</v>
      </c>
      <c r="C807" t="str">
        <f>TEXT(Table3[[#This Row],[Order Date]],"yyyy")</f>
        <v>2022</v>
      </c>
      <c r="D807" t="s">
        <v>6229</v>
      </c>
      <c r="E807" t="s">
        <v>1569</v>
      </c>
      <c r="F807" t="s">
        <v>28</v>
      </c>
      <c r="G807">
        <v>1</v>
      </c>
      <c r="H807" t="s">
        <v>5398</v>
      </c>
      <c r="I807" t="s">
        <v>6210</v>
      </c>
      <c r="J807" t="s">
        <v>5401</v>
      </c>
      <c r="K807" t="s">
        <v>1947</v>
      </c>
      <c r="L807" t="s">
        <v>6211</v>
      </c>
      <c r="M807" t="s">
        <v>6193</v>
      </c>
      <c r="N807">
        <v>0.5</v>
      </c>
      <c r="O807">
        <v>5.97</v>
      </c>
      <c r="P807">
        <v>1.194</v>
      </c>
      <c r="Q807">
        <v>0.35819999999999996</v>
      </c>
      <c r="R807" s="5">
        <v>5.97</v>
      </c>
    </row>
    <row r="808" spans="1:18" x14ac:dyDescent="0.25">
      <c r="A808" t="s">
        <v>1570</v>
      </c>
      <c r="B808" s="7">
        <v>44241</v>
      </c>
      <c r="C808" t="str">
        <f>TEXT(Table3[[#This Row],[Order Date]],"yyyy")</f>
        <v>2021</v>
      </c>
      <c r="D808" t="s">
        <v>6238</v>
      </c>
      <c r="E808" t="s">
        <v>1571</v>
      </c>
      <c r="F808" t="s">
        <v>44</v>
      </c>
      <c r="G808">
        <v>2</v>
      </c>
      <c r="H808" t="s">
        <v>5402</v>
      </c>
      <c r="I808" t="s">
        <v>2112</v>
      </c>
      <c r="J808" t="s">
        <v>2195</v>
      </c>
      <c r="K808" t="s">
        <v>1938</v>
      </c>
      <c r="L808" t="s">
        <v>6199</v>
      </c>
      <c r="M808" t="s">
        <v>6195</v>
      </c>
      <c r="N808">
        <v>0.2</v>
      </c>
      <c r="O808">
        <v>3.8849999999999998</v>
      </c>
      <c r="P808">
        <v>1.9424999999999999</v>
      </c>
      <c r="Q808">
        <v>0.50505</v>
      </c>
      <c r="R808" s="5">
        <v>7.77</v>
      </c>
    </row>
    <row r="809" spans="1:18" x14ac:dyDescent="0.25">
      <c r="A809" t="s">
        <v>1572</v>
      </c>
      <c r="B809" s="7">
        <v>44543</v>
      </c>
      <c r="C809" t="str">
        <f>TEXT(Table3[[#This Row],[Order Date]],"yyyy")</f>
        <v>2021</v>
      </c>
      <c r="D809" t="s">
        <v>6237</v>
      </c>
      <c r="E809" t="s">
        <v>1573</v>
      </c>
      <c r="F809" t="s">
        <v>129</v>
      </c>
      <c r="G809">
        <v>3</v>
      </c>
      <c r="H809" t="s">
        <v>5404</v>
      </c>
      <c r="I809" t="s">
        <v>1945</v>
      </c>
      <c r="J809" t="s">
        <v>3758</v>
      </c>
      <c r="K809" t="s">
        <v>1947</v>
      </c>
      <c r="L809" t="s">
        <v>6199</v>
      </c>
      <c r="M809" t="s">
        <v>6195</v>
      </c>
      <c r="N809">
        <v>0.5</v>
      </c>
      <c r="O809">
        <v>7.77</v>
      </c>
      <c r="P809">
        <v>1.5539999999999998</v>
      </c>
      <c r="Q809">
        <v>1.0101</v>
      </c>
      <c r="R809" s="5">
        <v>23.31</v>
      </c>
    </row>
    <row r="810" spans="1:18" x14ac:dyDescent="0.25">
      <c r="A810" t="s">
        <v>1574</v>
      </c>
      <c r="B810" s="7">
        <v>43868</v>
      </c>
      <c r="C810" t="str">
        <f>TEXT(Table3[[#This Row],[Order Date]],"yyyy")</f>
        <v>2020</v>
      </c>
      <c r="D810" t="s">
        <v>6238</v>
      </c>
      <c r="E810" t="s">
        <v>1575</v>
      </c>
      <c r="F810" t="s">
        <v>16</v>
      </c>
      <c r="G810">
        <v>5</v>
      </c>
      <c r="H810" t="s">
        <v>5452</v>
      </c>
      <c r="I810" t="s">
        <v>6210</v>
      </c>
      <c r="J810" t="s">
        <v>2023</v>
      </c>
      <c r="K810" t="s">
        <v>1947</v>
      </c>
      <c r="L810" t="s">
        <v>6211</v>
      </c>
      <c r="M810" t="s">
        <v>6215</v>
      </c>
      <c r="N810">
        <v>2.5</v>
      </c>
      <c r="O810">
        <v>27.484999999999996</v>
      </c>
      <c r="P810">
        <v>1.0993999999999999</v>
      </c>
      <c r="Q810">
        <v>1.6490999999999998</v>
      </c>
      <c r="R810" s="5">
        <v>137.42499999999998</v>
      </c>
    </row>
    <row r="811" spans="1:18" x14ac:dyDescent="0.25">
      <c r="A811" t="s">
        <v>1576</v>
      </c>
      <c r="B811" s="7">
        <v>44235</v>
      </c>
      <c r="C811" t="str">
        <f>TEXT(Table3[[#This Row],[Order Date]],"yyyy")</f>
        <v>2021</v>
      </c>
      <c r="D811" t="s">
        <v>6238</v>
      </c>
      <c r="E811" t="s">
        <v>1577</v>
      </c>
      <c r="F811" t="s">
        <v>107</v>
      </c>
      <c r="G811">
        <v>3</v>
      </c>
      <c r="H811" t="s">
        <v>5413</v>
      </c>
      <c r="I811" t="s">
        <v>6210</v>
      </c>
      <c r="J811" t="s">
        <v>2444</v>
      </c>
      <c r="K811" t="s">
        <v>1938</v>
      </c>
      <c r="L811" t="s">
        <v>6211</v>
      </c>
      <c r="M811" t="s">
        <v>6195</v>
      </c>
      <c r="N811">
        <v>0.2</v>
      </c>
      <c r="O811">
        <v>2.6849999999999996</v>
      </c>
      <c r="P811">
        <v>1.3424999999999998</v>
      </c>
      <c r="Q811">
        <v>0.16109999999999997</v>
      </c>
      <c r="R811" s="5">
        <v>8.0549999999999997</v>
      </c>
    </row>
    <row r="812" spans="1:18" x14ac:dyDescent="0.25">
      <c r="A812" t="s">
        <v>1578</v>
      </c>
      <c r="B812" s="7">
        <v>44054</v>
      </c>
      <c r="C812" t="str">
        <f>TEXT(Table3[[#This Row],[Order Date]],"yyyy")</f>
        <v>2020</v>
      </c>
      <c r="D812" t="s">
        <v>6231</v>
      </c>
      <c r="E812" t="s">
        <v>1579</v>
      </c>
      <c r="F812" t="s">
        <v>89</v>
      </c>
      <c r="G812">
        <v>3</v>
      </c>
      <c r="H812" t="s">
        <v>5416</v>
      </c>
      <c r="I812" t="s">
        <v>6210</v>
      </c>
      <c r="J812" t="s">
        <v>5420</v>
      </c>
      <c r="K812" t="s">
        <v>1947</v>
      </c>
      <c r="L812" t="s">
        <v>6199</v>
      </c>
      <c r="M812" t="s">
        <v>6215</v>
      </c>
      <c r="N812">
        <v>0.5</v>
      </c>
      <c r="O812">
        <v>9.51</v>
      </c>
      <c r="P812">
        <v>1.9019999999999999</v>
      </c>
      <c r="Q812">
        <v>1.2363</v>
      </c>
      <c r="R812" s="5">
        <v>28.53</v>
      </c>
    </row>
    <row r="813" spans="1:18" x14ac:dyDescent="0.25">
      <c r="A813" t="s">
        <v>1580</v>
      </c>
      <c r="B813" s="7">
        <v>44114</v>
      </c>
      <c r="C813" t="str">
        <f>TEXT(Table3[[#This Row],[Order Date]],"yyyy")</f>
        <v>2020</v>
      </c>
      <c r="D813" t="s">
        <v>6235</v>
      </c>
      <c r="E813" t="s">
        <v>1581</v>
      </c>
      <c r="F813" t="s">
        <v>67</v>
      </c>
      <c r="G813">
        <v>6</v>
      </c>
      <c r="H813" t="s">
        <v>5421</v>
      </c>
      <c r="I813" t="s">
        <v>1945</v>
      </c>
      <c r="J813" t="s">
        <v>5425</v>
      </c>
      <c r="K813" t="s">
        <v>1938</v>
      </c>
      <c r="L813" t="s">
        <v>6213</v>
      </c>
      <c r="M813" t="s">
        <v>6193</v>
      </c>
      <c r="N813">
        <v>1</v>
      </c>
      <c r="O813">
        <v>11.25</v>
      </c>
      <c r="P813">
        <v>1.125</v>
      </c>
      <c r="Q813">
        <v>1.0125</v>
      </c>
      <c r="R813" s="5">
        <v>67.5</v>
      </c>
    </row>
    <row r="814" spans="1:18" x14ac:dyDescent="0.25">
      <c r="A814" t="s">
        <v>1580</v>
      </c>
      <c r="B814" s="7">
        <v>44114</v>
      </c>
      <c r="C814" t="str">
        <f>TEXT(Table3[[#This Row],[Order Date]],"yyyy")</f>
        <v>2020</v>
      </c>
      <c r="D814" t="s">
        <v>6235</v>
      </c>
      <c r="E814" t="s">
        <v>1581</v>
      </c>
      <c r="F814" t="s">
        <v>115</v>
      </c>
      <c r="G814">
        <v>6</v>
      </c>
      <c r="H814" t="s">
        <v>5421</v>
      </c>
      <c r="I814" t="s">
        <v>1945</v>
      </c>
      <c r="J814" t="s">
        <v>5425</v>
      </c>
      <c r="K814" t="s">
        <v>1938</v>
      </c>
      <c r="L814" t="s">
        <v>6199</v>
      </c>
      <c r="M814" t="s">
        <v>6195</v>
      </c>
      <c r="N814">
        <v>2.5</v>
      </c>
      <c r="O814">
        <v>29.784999999999997</v>
      </c>
      <c r="P814">
        <v>1.1913999999999998</v>
      </c>
      <c r="Q814">
        <v>3.8720499999999998</v>
      </c>
      <c r="R814" s="5">
        <v>178.70999999999998</v>
      </c>
    </row>
    <row r="815" spans="1:18" x14ac:dyDescent="0.25">
      <c r="A815" t="s">
        <v>1582</v>
      </c>
      <c r="B815" s="7">
        <v>44173</v>
      </c>
      <c r="C815" t="str">
        <f>TEXT(Table3[[#This Row],[Order Date]],"yyyy")</f>
        <v>2020</v>
      </c>
      <c r="D815" t="s">
        <v>6237</v>
      </c>
      <c r="E815" t="s">
        <v>1583</v>
      </c>
      <c r="F815" t="s">
        <v>118</v>
      </c>
      <c r="G815">
        <v>1</v>
      </c>
      <c r="H815" t="s">
        <v>5433</v>
      </c>
      <c r="I815" t="s">
        <v>6210</v>
      </c>
      <c r="J815" t="s">
        <v>2358</v>
      </c>
      <c r="K815" t="s">
        <v>1938</v>
      </c>
      <c r="L815" t="s">
        <v>6212</v>
      </c>
      <c r="M815" t="s">
        <v>6193</v>
      </c>
      <c r="N815">
        <v>2.5</v>
      </c>
      <c r="O815">
        <v>31.624999999999996</v>
      </c>
      <c r="P815">
        <v>1.2649999999999999</v>
      </c>
      <c r="Q815">
        <v>3.4787499999999998</v>
      </c>
      <c r="R815" s="5">
        <v>31.624999999999996</v>
      </c>
    </row>
    <row r="816" spans="1:18" x14ac:dyDescent="0.25">
      <c r="A816" t="s">
        <v>1584</v>
      </c>
      <c r="B816" s="7">
        <v>43573</v>
      </c>
      <c r="C816" t="str">
        <f>TEXT(Table3[[#This Row],[Order Date]],"yyyy")</f>
        <v>2019</v>
      </c>
      <c r="D816" t="s">
        <v>6236</v>
      </c>
      <c r="E816" t="s">
        <v>1585</v>
      </c>
      <c r="F816" t="s">
        <v>260</v>
      </c>
      <c r="G816">
        <v>2</v>
      </c>
      <c r="H816" t="s">
        <v>5437</v>
      </c>
      <c r="I816" t="s">
        <v>6210</v>
      </c>
      <c r="J816" t="s">
        <v>2182</v>
      </c>
      <c r="K816" t="s">
        <v>1947</v>
      </c>
      <c r="L816" t="s">
        <v>6212</v>
      </c>
      <c r="M816" t="s">
        <v>6215</v>
      </c>
      <c r="N816">
        <v>0.2</v>
      </c>
      <c r="O816">
        <v>4.4550000000000001</v>
      </c>
      <c r="P816">
        <v>2.2275</v>
      </c>
      <c r="Q816">
        <v>0.49004999999999999</v>
      </c>
      <c r="R816" s="5">
        <v>8.91</v>
      </c>
    </row>
    <row r="817" spans="1:18" x14ac:dyDescent="0.25">
      <c r="A817" t="s">
        <v>1586</v>
      </c>
      <c r="B817" s="7">
        <v>44200</v>
      </c>
      <c r="C817" t="str">
        <f>TEXT(Table3[[#This Row],[Order Date]],"yyyy")</f>
        <v>2021</v>
      </c>
      <c r="D817" t="s">
        <v>6232</v>
      </c>
      <c r="E817" t="s">
        <v>1587</v>
      </c>
      <c r="F817" t="s">
        <v>28</v>
      </c>
      <c r="G817">
        <v>6</v>
      </c>
      <c r="H817" t="s">
        <v>5441</v>
      </c>
      <c r="I817" t="s">
        <v>6210</v>
      </c>
      <c r="J817" t="s">
        <v>3044</v>
      </c>
      <c r="K817" t="s">
        <v>1947</v>
      </c>
      <c r="L817" t="s">
        <v>6211</v>
      </c>
      <c r="M817" t="s">
        <v>6193</v>
      </c>
      <c r="N817">
        <v>0.5</v>
      </c>
      <c r="O817">
        <v>5.97</v>
      </c>
      <c r="P817">
        <v>1.194</v>
      </c>
      <c r="Q817">
        <v>0.35819999999999996</v>
      </c>
      <c r="R817" s="5">
        <v>35.82</v>
      </c>
    </row>
    <row r="818" spans="1:18" x14ac:dyDescent="0.25">
      <c r="A818" t="s">
        <v>1588</v>
      </c>
      <c r="B818" s="7">
        <v>43534</v>
      </c>
      <c r="C818" t="str">
        <f>TEXT(Table3[[#This Row],[Order Date]],"yyyy")</f>
        <v>2019</v>
      </c>
      <c r="D818" t="s">
        <v>6234</v>
      </c>
      <c r="E818" t="s">
        <v>1589</v>
      </c>
      <c r="F818" t="s">
        <v>89</v>
      </c>
      <c r="G818">
        <v>4</v>
      </c>
      <c r="H818" t="s">
        <v>5445</v>
      </c>
      <c r="I818" t="s">
        <v>1945</v>
      </c>
      <c r="J818" t="s">
        <v>2700</v>
      </c>
      <c r="K818" t="s">
        <v>1947</v>
      </c>
      <c r="L818" t="s">
        <v>6199</v>
      </c>
      <c r="M818" t="s">
        <v>6215</v>
      </c>
      <c r="N818">
        <v>0.5</v>
      </c>
      <c r="O818">
        <v>9.51</v>
      </c>
      <c r="P818">
        <v>1.9019999999999999</v>
      </c>
      <c r="Q818">
        <v>1.2363</v>
      </c>
      <c r="R818" s="5">
        <v>38.04</v>
      </c>
    </row>
    <row r="819" spans="1:18" x14ac:dyDescent="0.25">
      <c r="A819" t="s">
        <v>1590</v>
      </c>
      <c r="B819" s="7">
        <v>43798</v>
      </c>
      <c r="C819" t="str">
        <f>TEXT(Table3[[#This Row],[Order Date]],"yyyy")</f>
        <v>2019</v>
      </c>
      <c r="D819" t="s">
        <v>6239</v>
      </c>
      <c r="E819" t="s">
        <v>1591</v>
      </c>
      <c r="F819" t="s">
        <v>129</v>
      </c>
      <c r="G819">
        <v>2</v>
      </c>
      <c r="H819" t="s">
        <v>5449</v>
      </c>
      <c r="I819" t="s">
        <v>6210</v>
      </c>
      <c r="J819" t="s">
        <v>2346</v>
      </c>
      <c r="K819" t="s">
        <v>1947</v>
      </c>
      <c r="L819" t="s">
        <v>6199</v>
      </c>
      <c r="M819" t="s">
        <v>6195</v>
      </c>
      <c r="N819">
        <v>0.5</v>
      </c>
      <c r="O819">
        <v>7.77</v>
      </c>
      <c r="P819">
        <v>1.5539999999999998</v>
      </c>
      <c r="Q819">
        <v>1.0101</v>
      </c>
      <c r="R819" s="5">
        <v>15.54</v>
      </c>
    </row>
    <row r="820" spans="1:18" x14ac:dyDescent="0.25">
      <c r="A820" t="s">
        <v>1592</v>
      </c>
      <c r="B820" s="7">
        <v>44761</v>
      </c>
      <c r="C820" t="str">
        <f>TEXT(Table3[[#This Row],[Order Date]],"yyyy")</f>
        <v>2022</v>
      </c>
      <c r="D820" t="s">
        <v>6230</v>
      </c>
      <c r="E820" t="s">
        <v>1575</v>
      </c>
      <c r="F820" t="s">
        <v>138</v>
      </c>
      <c r="G820">
        <v>5</v>
      </c>
      <c r="H820" t="s">
        <v>5452</v>
      </c>
      <c r="I820" t="s">
        <v>6210</v>
      </c>
      <c r="J820" t="s">
        <v>2023</v>
      </c>
      <c r="K820" t="s">
        <v>1947</v>
      </c>
      <c r="L820" t="s">
        <v>6199</v>
      </c>
      <c r="M820" t="s">
        <v>6215</v>
      </c>
      <c r="N820">
        <v>1</v>
      </c>
      <c r="O820">
        <v>15.85</v>
      </c>
      <c r="P820">
        <v>1.585</v>
      </c>
      <c r="Q820">
        <v>2.0605000000000002</v>
      </c>
      <c r="R820" s="5">
        <v>79.25</v>
      </c>
    </row>
    <row r="821" spans="1:18" x14ac:dyDescent="0.25">
      <c r="A821" t="s">
        <v>1593</v>
      </c>
      <c r="B821" s="7">
        <v>44008</v>
      </c>
      <c r="C821" t="str">
        <f>TEXT(Table3[[#This Row],[Order Date]],"yyyy")</f>
        <v>2020</v>
      </c>
      <c r="D821" t="s">
        <v>6229</v>
      </c>
      <c r="E821" t="s">
        <v>1594</v>
      </c>
      <c r="F821" t="s">
        <v>25</v>
      </c>
      <c r="G821">
        <v>1</v>
      </c>
      <c r="H821" t="s">
        <v>5455</v>
      </c>
      <c r="I821" t="s">
        <v>6210</v>
      </c>
      <c r="J821" t="s">
        <v>2182</v>
      </c>
      <c r="K821" t="s">
        <v>1938</v>
      </c>
      <c r="L821" t="s">
        <v>6199</v>
      </c>
      <c r="M821" t="s">
        <v>6215</v>
      </c>
      <c r="N821">
        <v>0.2</v>
      </c>
      <c r="O821">
        <v>4.7549999999999999</v>
      </c>
      <c r="P821">
        <v>2.3774999999999999</v>
      </c>
      <c r="Q821">
        <v>0.61814999999999998</v>
      </c>
      <c r="R821" s="5">
        <v>4.7549999999999999</v>
      </c>
    </row>
    <row r="822" spans="1:18" x14ac:dyDescent="0.25">
      <c r="A822" t="s">
        <v>1595</v>
      </c>
      <c r="B822" s="7">
        <v>43510</v>
      </c>
      <c r="C822" t="str">
        <f>TEXT(Table3[[#This Row],[Order Date]],"yyyy")</f>
        <v>2019</v>
      </c>
      <c r="D822" t="s">
        <v>6238</v>
      </c>
      <c r="E822" t="s">
        <v>1596</v>
      </c>
      <c r="F822" t="s">
        <v>15</v>
      </c>
      <c r="G822">
        <v>4</v>
      </c>
      <c r="H822" t="s">
        <v>5459</v>
      </c>
      <c r="I822" t="s">
        <v>6210</v>
      </c>
      <c r="J822" t="s">
        <v>2383</v>
      </c>
      <c r="K822" t="s">
        <v>1938</v>
      </c>
      <c r="L822" t="s">
        <v>6212</v>
      </c>
      <c r="M822" t="s">
        <v>6193</v>
      </c>
      <c r="N822">
        <v>1</v>
      </c>
      <c r="O822">
        <v>13.75</v>
      </c>
      <c r="P822">
        <v>1.375</v>
      </c>
      <c r="Q822">
        <v>1.5125</v>
      </c>
      <c r="R822" s="5">
        <v>55</v>
      </c>
    </row>
    <row r="823" spans="1:18" x14ac:dyDescent="0.25">
      <c r="A823" t="s">
        <v>1597</v>
      </c>
      <c r="B823" s="7">
        <v>44144</v>
      </c>
      <c r="C823" t="str">
        <f>TEXT(Table3[[#This Row],[Order Date]],"yyyy")</f>
        <v>2020</v>
      </c>
      <c r="D823" t="s">
        <v>6239</v>
      </c>
      <c r="E823" t="s">
        <v>1598</v>
      </c>
      <c r="F823" t="s">
        <v>152</v>
      </c>
      <c r="G823">
        <v>5</v>
      </c>
      <c r="H823" t="s">
        <v>5463</v>
      </c>
      <c r="I823" t="s">
        <v>6210</v>
      </c>
      <c r="J823" t="s">
        <v>2830</v>
      </c>
      <c r="K823" t="s">
        <v>1947</v>
      </c>
      <c r="L823" t="s">
        <v>6211</v>
      </c>
      <c r="M823" t="s">
        <v>6195</v>
      </c>
      <c r="N823">
        <v>0.5</v>
      </c>
      <c r="O823">
        <v>5.3699999999999992</v>
      </c>
      <c r="P823">
        <v>1.0739999999999998</v>
      </c>
      <c r="Q823">
        <v>0.32219999999999993</v>
      </c>
      <c r="R823" s="5">
        <v>26.849999999999994</v>
      </c>
    </row>
    <row r="824" spans="1:18" x14ac:dyDescent="0.25">
      <c r="A824" t="s">
        <v>1599</v>
      </c>
      <c r="B824" s="7">
        <v>43585</v>
      </c>
      <c r="C824" t="str">
        <f>TEXT(Table3[[#This Row],[Order Date]],"yyyy")</f>
        <v>2019</v>
      </c>
      <c r="D824" t="s">
        <v>6236</v>
      </c>
      <c r="E824" t="s">
        <v>1600</v>
      </c>
      <c r="F824" t="s">
        <v>36</v>
      </c>
      <c r="G824">
        <v>4</v>
      </c>
      <c r="H824" t="s">
        <v>5467</v>
      </c>
      <c r="I824" t="s">
        <v>6210</v>
      </c>
      <c r="J824" t="s">
        <v>5471</v>
      </c>
      <c r="K824" t="s">
        <v>1947</v>
      </c>
      <c r="L824" t="s">
        <v>6212</v>
      </c>
      <c r="M824" t="s">
        <v>6215</v>
      </c>
      <c r="N824">
        <v>2.5</v>
      </c>
      <c r="O824">
        <v>34.154999999999994</v>
      </c>
      <c r="P824">
        <v>1.3661999999999999</v>
      </c>
      <c r="Q824">
        <v>3.7570499999999996</v>
      </c>
      <c r="R824" s="5">
        <v>136.61999999999998</v>
      </c>
    </row>
    <row r="825" spans="1:18" x14ac:dyDescent="0.25">
      <c r="A825" t="s">
        <v>1601</v>
      </c>
      <c r="B825" s="7">
        <v>44134</v>
      </c>
      <c r="C825" t="str">
        <f>TEXT(Table3[[#This Row],[Order Date]],"yyyy")</f>
        <v>2020</v>
      </c>
      <c r="D825" t="s">
        <v>6235</v>
      </c>
      <c r="E825" t="s">
        <v>1602</v>
      </c>
      <c r="F825" t="s">
        <v>138</v>
      </c>
      <c r="G825">
        <v>3</v>
      </c>
      <c r="H825" t="s">
        <v>5472</v>
      </c>
      <c r="I825" t="s">
        <v>6210</v>
      </c>
      <c r="J825" t="s">
        <v>5476</v>
      </c>
      <c r="K825" t="s">
        <v>1938</v>
      </c>
      <c r="L825" t="s">
        <v>6199</v>
      </c>
      <c r="M825" t="s">
        <v>6215</v>
      </c>
      <c r="N825">
        <v>1</v>
      </c>
      <c r="O825">
        <v>15.85</v>
      </c>
      <c r="P825">
        <v>1.585</v>
      </c>
      <c r="Q825">
        <v>2.0605000000000002</v>
      </c>
      <c r="R825" s="5">
        <v>47.55</v>
      </c>
    </row>
    <row r="826" spans="1:18" x14ac:dyDescent="0.25">
      <c r="A826" t="s">
        <v>1603</v>
      </c>
      <c r="B826" s="7">
        <v>43781</v>
      </c>
      <c r="C826" t="str">
        <f>TEXT(Table3[[#This Row],[Order Date]],"yyyy")</f>
        <v>2019</v>
      </c>
      <c r="D826" t="s">
        <v>6239</v>
      </c>
      <c r="E826" t="s">
        <v>1604</v>
      </c>
      <c r="F826" t="s">
        <v>50</v>
      </c>
      <c r="G826">
        <v>5</v>
      </c>
      <c r="H826" t="s">
        <v>5477</v>
      </c>
      <c r="I826" t="s">
        <v>6210</v>
      </c>
      <c r="J826" t="s">
        <v>2296</v>
      </c>
      <c r="K826" t="s">
        <v>1938</v>
      </c>
      <c r="L826" t="s">
        <v>6213</v>
      </c>
      <c r="M826" t="s">
        <v>6193</v>
      </c>
      <c r="N826">
        <v>0.2</v>
      </c>
      <c r="O826">
        <v>3.375</v>
      </c>
      <c r="P826">
        <v>1.6875</v>
      </c>
      <c r="Q826">
        <v>0.30374999999999996</v>
      </c>
      <c r="R826" s="5">
        <v>16.875</v>
      </c>
    </row>
    <row r="827" spans="1:18" x14ac:dyDescent="0.25">
      <c r="A827" t="s">
        <v>1605</v>
      </c>
      <c r="B827" s="7">
        <v>44603</v>
      </c>
      <c r="C827" t="str">
        <f>TEXT(Table3[[#This Row],[Order Date]],"yyyy")</f>
        <v>2022</v>
      </c>
      <c r="D827" t="s">
        <v>6238</v>
      </c>
      <c r="E827" t="s">
        <v>1606</v>
      </c>
      <c r="F827" t="s">
        <v>33</v>
      </c>
      <c r="G827">
        <v>3</v>
      </c>
      <c r="H827" t="s">
        <v>5506</v>
      </c>
      <c r="I827" t="s">
        <v>6210</v>
      </c>
      <c r="J827" t="s">
        <v>2358</v>
      </c>
      <c r="K827" t="s">
        <v>1938</v>
      </c>
      <c r="L827" t="s">
        <v>6213</v>
      </c>
      <c r="M827" t="s">
        <v>6195</v>
      </c>
      <c r="N827">
        <v>1</v>
      </c>
      <c r="O827">
        <v>9.9499999999999993</v>
      </c>
      <c r="P827">
        <v>0.99499999999999988</v>
      </c>
      <c r="Q827">
        <v>0.89549999999999985</v>
      </c>
      <c r="R827" s="5">
        <v>29.849999999999998</v>
      </c>
    </row>
    <row r="828" spans="1:18" x14ac:dyDescent="0.25">
      <c r="A828" t="s">
        <v>1607</v>
      </c>
      <c r="B828" s="7">
        <v>44283</v>
      </c>
      <c r="C828" t="str">
        <f>TEXT(Table3[[#This Row],[Order Date]],"yyyy")</f>
        <v>2021</v>
      </c>
      <c r="D828" t="s">
        <v>6234</v>
      </c>
      <c r="E828" t="s">
        <v>1608</v>
      </c>
      <c r="F828" t="s">
        <v>9</v>
      </c>
      <c r="G828">
        <v>5</v>
      </c>
      <c r="H828" t="s">
        <v>5485</v>
      </c>
      <c r="I828" t="s">
        <v>6210</v>
      </c>
      <c r="J828" t="s">
        <v>2221</v>
      </c>
      <c r="K828" t="s">
        <v>1938</v>
      </c>
      <c r="L828" t="s">
        <v>6212</v>
      </c>
      <c r="M828" t="s">
        <v>6193</v>
      </c>
      <c r="N828">
        <v>0.5</v>
      </c>
      <c r="O828">
        <v>8.25</v>
      </c>
      <c r="P828">
        <v>1.65</v>
      </c>
      <c r="Q828">
        <v>0.90749999999999997</v>
      </c>
      <c r="R828" s="5">
        <v>41.25</v>
      </c>
    </row>
    <row r="829" spans="1:18" x14ac:dyDescent="0.25">
      <c r="A829" t="s">
        <v>1609</v>
      </c>
      <c r="B829" s="7">
        <v>44540</v>
      </c>
      <c r="C829" t="str">
        <f>TEXT(Table3[[#This Row],[Order Date]],"yyyy")</f>
        <v>2021</v>
      </c>
      <c r="D829" t="s">
        <v>6237</v>
      </c>
      <c r="E829" t="s">
        <v>1610</v>
      </c>
      <c r="F829" t="s">
        <v>70</v>
      </c>
      <c r="G829">
        <v>5</v>
      </c>
      <c r="H829" t="s">
        <v>5489</v>
      </c>
      <c r="I829" t="s">
        <v>6210</v>
      </c>
      <c r="J829" t="s">
        <v>2182</v>
      </c>
      <c r="K829" t="s">
        <v>1947</v>
      </c>
      <c r="L829" t="s">
        <v>6212</v>
      </c>
      <c r="M829" t="s">
        <v>6193</v>
      </c>
      <c r="N829">
        <v>0.2</v>
      </c>
      <c r="O829">
        <v>4.125</v>
      </c>
      <c r="P829">
        <v>2.0625</v>
      </c>
      <c r="Q829">
        <v>0.45374999999999999</v>
      </c>
      <c r="R829" s="5">
        <v>20.625</v>
      </c>
    </row>
    <row r="830" spans="1:18" x14ac:dyDescent="0.25">
      <c r="A830" t="s">
        <v>1611</v>
      </c>
      <c r="B830" s="7">
        <v>44505</v>
      </c>
      <c r="C830" t="str">
        <f>TEXT(Table3[[#This Row],[Order Date]],"yyyy")</f>
        <v>2021</v>
      </c>
      <c r="D830" t="s">
        <v>6239</v>
      </c>
      <c r="E830" t="s">
        <v>1612</v>
      </c>
      <c r="F830" t="s">
        <v>124</v>
      </c>
      <c r="G830">
        <v>6</v>
      </c>
      <c r="H830" t="s">
        <v>5493</v>
      </c>
      <c r="I830" t="s">
        <v>6210</v>
      </c>
      <c r="J830" t="s">
        <v>5497</v>
      </c>
      <c r="K830" t="s">
        <v>1938</v>
      </c>
      <c r="L830" t="s">
        <v>6213</v>
      </c>
      <c r="M830" t="s">
        <v>6195</v>
      </c>
      <c r="N830">
        <v>2.5</v>
      </c>
      <c r="O830">
        <v>22.884999999999998</v>
      </c>
      <c r="P830">
        <v>0.91539999999999988</v>
      </c>
      <c r="Q830">
        <v>2.0596499999999995</v>
      </c>
      <c r="R830" s="5">
        <v>137.31</v>
      </c>
    </row>
    <row r="831" spans="1:18" x14ac:dyDescent="0.25">
      <c r="A831" t="s">
        <v>1613</v>
      </c>
      <c r="B831" s="7">
        <v>43890</v>
      </c>
      <c r="C831" t="str">
        <f>TEXT(Table3[[#This Row],[Order Date]],"yyyy")</f>
        <v>2020</v>
      </c>
      <c r="D831" t="s">
        <v>6238</v>
      </c>
      <c r="E831" t="s">
        <v>1614</v>
      </c>
      <c r="F831" t="s">
        <v>60</v>
      </c>
      <c r="G831">
        <v>1</v>
      </c>
      <c r="H831" t="s">
        <v>5498</v>
      </c>
      <c r="I831" t="s">
        <v>6210</v>
      </c>
      <c r="J831" t="s">
        <v>2477</v>
      </c>
      <c r="K831" t="s">
        <v>1947</v>
      </c>
      <c r="L831" t="s">
        <v>6213</v>
      </c>
      <c r="M831" t="s">
        <v>6195</v>
      </c>
      <c r="N831">
        <v>0.2</v>
      </c>
      <c r="O831">
        <v>2.9849999999999999</v>
      </c>
      <c r="P831">
        <v>1.4924999999999999</v>
      </c>
      <c r="Q831">
        <v>0.26865</v>
      </c>
      <c r="R831" s="5">
        <v>2.9849999999999999</v>
      </c>
    </row>
    <row r="832" spans="1:18" x14ac:dyDescent="0.25">
      <c r="A832" t="s">
        <v>1615</v>
      </c>
      <c r="B832" s="7">
        <v>44414</v>
      </c>
      <c r="C832" t="str">
        <f>TEXT(Table3[[#This Row],[Order Date]],"yyyy")</f>
        <v>2021</v>
      </c>
      <c r="D832" t="s">
        <v>6231</v>
      </c>
      <c r="E832" t="s">
        <v>1616</v>
      </c>
      <c r="F832" t="s">
        <v>15</v>
      </c>
      <c r="G832">
        <v>2</v>
      </c>
      <c r="H832" t="s">
        <v>5502</v>
      </c>
      <c r="I832" t="s">
        <v>6210</v>
      </c>
      <c r="J832" t="s">
        <v>2013</v>
      </c>
      <c r="K832" t="s">
        <v>1947</v>
      </c>
      <c r="L832" t="s">
        <v>6212</v>
      </c>
      <c r="M832" t="s">
        <v>6193</v>
      </c>
      <c r="N832">
        <v>1</v>
      </c>
      <c r="O832">
        <v>13.75</v>
      </c>
      <c r="P832">
        <v>1.375</v>
      </c>
      <c r="Q832">
        <v>1.5125</v>
      </c>
      <c r="R832" s="5">
        <v>27.5</v>
      </c>
    </row>
    <row r="833" spans="1:18" x14ac:dyDescent="0.25">
      <c r="A833" t="s">
        <v>1615</v>
      </c>
      <c r="B833" s="7">
        <v>44414</v>
      </c>
      <c r="C833" t="str">
        <f>TEXT(Table3[[#This Row],[Order Date]],"yyyy")</f>
        <v>2021</v>
      </c>
      <c r="D833" t="s">
        <v>6231</v>
      </c>
      <c r="E833" t="s">
        <v>1616</v>
      </c>
      <c r="F833" t="s">
        <v>60</v>
      </c>
      <c r="G833">
        <v>2</v>
      </c>
      <c r="H833" t="s">
        <v>5502</v>
      </c>
      <c r="I833" t="s">
        <v>6210</v>
      </c>
      <c r="J833" t="s">
        <v>2013</v>
      </c>
      <c r="K833" t="s">
        <v>1947</v>
      </c>
      <c r="L833" t="s">
        <v>6213</v>
      </c>
      <c r="M833" t="s">
        <v>6195</v>
      </c>
      <c r="N833">
        <v>0.2</v>
      </c>
      <c r="O833">
        <v>2.9849999999999999</v>
      </c>
      <c r="P833">
        <v>1.4924999999999999</v>
      </c>
      <c r="Q833">
        <v>0.26865</v>
      </c>
      <c r="R833" s="5">
        <v>5.97</v>
      </c>
    </row>
    <row r="834" spans="1:18" x14ac:dyDescent="0.25">
      <c r="A834" t="s">
        <v>1617</v>
      </c>
      <c r="B834" s="7">
        <v>44274</v>
      </c>
      <c r="C834" t="str">
        <f>TEXT(Table3[[#This Row],[Order Date]],"yyyy")</f>
        <v>2021</v>
      </c>
      <c r="D834" t="s">
        <v>6234</v>
      </c>
      <c r="E834" t="s">
        <v>1618</v>
      </c>
      <c r="F834" t="s">
        <v>8</v>
      </c>
      <c r="G834">
        <v>6</v>
      </c>
      <c r="H834" t="s">
        <v>5510</v>
      </c>
      <c r="I834" t="s">
        <v>6210</v>
      </c>
      <c r="J834" t="s">
        <v>2243</v>
      </c>
      <c r="K834" t="s">
        <v>1947</v>
      </c>
      <c r="L834" t="s">
        <v>6211</v>
      </c>
      <c r="M834" t="s">
        <v>6193</v>
      </c>
      <c r="N834">
        <v>1</v>
      </c>
      <c r="O834">
        <v>9.9499999999999993</v>
      </c>
      <c r="P834">
        <v>0.99499999999999988</v>
      </c>
      <c r="Q834">
        <v>0.59699999999999998</v>
      </c>
      <c r="R834" s="5">
        <v>59.699999999999996</v>
      </c>
    </row>
    <row r="835" spans="1:18" x14ac:dyDescent="0.25">
      <c r="A835" t="s">
        <v>1619</v>
      </c>
      <c r="B835" s="7">
        <v>44302</v>
      </c>
      <c r="C835" t="str">
        <f>TEXT(Table3[[#This Row],[Order Date]],"yyyy")</f>
        <v>2021</v>
      </c>
      <c r="D835" t="s">
        <v>6236</v>
      </c>
      <c r="E835" t="s">
        <v>1620</v>
      </c>
      <c r="F835" t="s">
        <v>41</v>
      </c>
      <c r="G835">
        <v>4</v>
      </c>
      <c r="H835" t="s">
        <v>5514</v>
      </c>
      <c r="I835" t="s">
        <v>6210</v>
      </c>
      <c r="J835" t="s">
        <v>2262</v>
      </c>
      <c r="K835" t="s">
        <v>1938</v>
      </c>
      <c r="L835" t="s">
        <v>6211</v>
      </c>
      <c r="M835" t="s">
        <v>6195</v>
      </c>
      <c r="N835">
        <v>2.5</v>
      </c>
      <c r="O835">
        <v>20.584999999999997</v>
      </c>
      <c r="P835">
        <v>0.82339999999999991</v>
      </c>
      <c r="Q835">
        <v>1.2350999999999999</v>
      </c>
      <c r="R835" s="5">
        <v>82.339999999999989</v>
      </c>
    </row>
    <row r="836" spans="1:18" x14ac:dyDescent="0.25">
      <c r="A836" t="s">
        <v>1621</v>
      </c>
      <c r="B836" s="7">
        <v>44141</v>
      </c>
      <c r="C836" t="str">
        <f>TEXT(Table3[[#This Row],[Order Date]],"yyyy")</f>
        <v>2020</v>
      </c>
      <c r="D836" t="s">
        <v>6239</v>
      </c>
      <c r="E836" t="s">
        <v>1622</v>
      </c>
      <c r="F836" t="s">
        <v>124</v>
      </c>
      <c r="G836">
        <v>1</v>
      </c>
      <c r="H836" t="s">
        <v>5518</v>
      </c>
      <c r="I836" t="s">
        <v>6210</v>
      </c>
      <c r="J836" t="s">
        <v>5522</v>
      </c>
      <c r="K836" t="s">
        <v>1947</v>
      </c>
      <c r="L836" t="s">
        <v>6213</v>
      </c>
      <c r="M836" t="s">
        <v>6195</v>
      </c>
      <c r="N836">
        <v>2.5</v>
      </c>
      <c r="O836">
        <v>22.884999999999998</v>
      </c>
      <c r="P836">
        <v>0.91539999999999988</v>
      </c>
      <c r="Q836">
        <v>2.0596499999999995</v>
      </c>
      <c r="R836" s="5">
        <v>22.884999999999998</v>
      </c>
    </row>
    <row r="837" spans="1:18" x14ac:dyDescent="0.25">
      <c r="A837" t="s">
        <v>1623</v>
      </c>
      <c r="B837" s="7">
        <v>44270</v>
      </c>
      <c r="C837" t="str">
        <f>TEXT(Table3[[#This Row],[Order Date]],"yyyy")</f>
        <v>2021</v>
      </c>
      <c r="D837" t="s">
        <v>6234</v>
      </c>
      <c r="E837" t="s">
        <v>1624</v>
      </c>
      <c r="F837" t="s">
        <v>182</v>
      </c>
      <c r="G837">
        <v>1</v>
      </c>
      <c r="H837" t="s">
        <v>5523</v>
      </c>
      <c r="I837" t="s">
        <v>6210</v>
      </c>
      <c r="J837" t="s">
        <v>2136</v>
      </c>
      <c r="K837" t="s">
        <v>1938</v>
      </c>
      <c r="L837" t="s">
        <v>6212</v>
      </c>
      <c r="M837" t="s">
        <v>6215</v>
      </c>
      <c r="N837">
        <v>0.5</v>
      </c>
      <c r="O837">
        <v>8.91</v>
      </c>
      <c r="P837">
        <v>1.782</v>
      </c>
      <c r="Q837">
        <v>0.98009999999999997</v>
      </c>
      <c r="R837" s="5">
        <v>8.91</v>
      </c>
    </row>
    <row r="838" spans="1:18" x14ac:dyDescent="0.25">
      <c r="A838" t="s">
        <v>1625</v>
      </c>
      <c r="B838" s="7">
        <v>44486</v>
      </c>
      <c r="C838" t="str">
        <f>TEXT(Table3[[#This Row],[Order Date]],"yyyy")</f>
        <v>2021</v>
      </c>
      <c r="D838" t="s">
        <v>6235</v>
      </c>
      <c r="E838" t="s">
        <v>1626</v>
      </c>
      <c r="F838" t="s">
        <v>60</v>
      </c>
      <c r="G838">
        <v>4</v>
      </c>
      <c r="H838" t="s">
        <v>5526</v>
      </c>
      <c r="I838" t="s">
        <v>6210</v>
      </c>
      <c r="J838" t="s">
        <v>2743</v>
      </c>
      <c r="K838" t="s">
        <v>1947</v>
      </c>
      <c r="L838" t="s">
        <v>6213</v>
      </c>
      <c r="M838" t="s">
        <v>6195</v>
      </c>
      <c r="N838">
        <v>0.2</v>
      </c>
      <c r="O838">
        <v>2.9849999999999999</v>
      </c>
      <c r="P838">
        <v>1.4924999999999999</v>
      </c>
      <c r="Q838">
        <v>0.26865</v>
      </c>
      <c r="R838" s="5">
        <v>11.94</v>
      </c>
    </row>
    <row r="839" spans="1:18" x14ac:dyDescent="0.25">
      <c r="A839" t="s">
        <v>1627</v>
      </c>
      <c r="B839" s="7">
        <v>43715</v>
      </c>
      <c r="C839" t="str">
        <f>TEXT(Table3[[#This Row],[Order Date]],"yyyy")</f>
        <v>2019</v>
      </c>
      <c r="D839" t="s">
        <v>6228</v>
      </c>
      <c r="E839" t="s">
        <v>1575</v>
      </c>
      <c r="F839" t="s">
        <v>203</v>
      </c>
      <c r="G839">
        <v>3</v>
      </c>
      <c r="H839" t="s">
        <v>5452</v>
      </c>
      <c r="I839" t="s">
        <v>6210</v>
      </c>
      <c r="J839" t="s">
        <v>2023</v>
      </c>
      <c r="K839" t="s">
        <v>1947</v>
      </c>
      <c r="L839" t="s">
        <v>6199</v>
      </c>
      <c r="M839" t="s">
        <v>6193</v>
      </c>
      <c r="N839">
        <v>2.5</v>
      </c>
      <c r="O839">
        <v>33.464999999999996</v>
      </c>
      <c r="P839">
        <v>1.3385999999999998</v>
      </c>
      <c r="Q839">
        <v>4.3504499999999995</v>
      </c>
      <c r="R839" s="5">
        <v>100.39499999999998</v>
      </c>
    </row>
    <row r="840" spans="1:18" x14ac:dyDescent="0.25">
      <c r="A840" t="s">
        <v>1628</v>
      </c>
      <c r="B840" s="7">
        <v>44755</v>
      </c>
      <c r="C840" t="str">
        <f>TEXT(Table3[[#This Row],[Order Date]],"yyyy")</f>
        <v>2022</v>
      </c>
      <c r="D840" t="s">
        <v>6230</v>
      </c>
      <c r="E840" t="s">
        <v>1629</v>
      </c>
      <c r="F840" t="s">
        <v>124</v>
      </c>
      <c r="G840">
        <v>5</v>
      </c>
      <c r="H840" t="s">
        <v>5535</v>
      </c>
      <c r="I840" t="s">
        <v>6210</v>
      </c>
      <c r="J840" t="s">
        <v>2182</v>
      </c>
      <c r="K840" t="s">
        <v>1947</v>
      </c>
      <c r="L840" t="s">
        <v>6213</v>
      </c>
      <c r="M840" t="s">
        <v>6195</v>
      </c>
      <c r="N840">
        <v>2.5</v>
      </c>
      <c r="O840">
        <v>22.884999999999998</v>
      </c>
      <c r="P840">
        <v>0.91539999999999988</v>
      </c>
      <c r="Q840">
        <v>2.0596499999999995</v>
      </c>
      <c r="R840" s="5">
        <v>114.42499999999998</v>
      </c>
    </row>
    <row r="841" spans="1:18" x14ac:dyDescent="0.25">
      <c r="A841" t="s">
        <v>1630</v>
      </c>
      <c r="B841" s="7">
        <v>44521</v>
      </c>
      <c r="C841" t="str">
        <f>TEXT(Table3[[#This Row],[Order Date]],"yyyy")</f>
        <v>2021</v>
      </c>
      <c r="D841" t="s">
        <v>6239</v>
      </c>
      <c r="E841" t="s">
        <v>1631</v>
      </c>
      <c r="F841" t="s">
        <v>9</v>
      </c>
      <c r="G841">
        <v>5</v>
      </c>
      <c r="H841" t="s">
        <v>5539</v>
      </c>
      <c r="I841" t="s">
        <v>6210</v>
      </c>
      <c r="J841" t="s">
        <v>5543</v>
      </c>
      <c r="K841" t="s">
        <v>1947</v>
      </c>
      <c r="L841" t="s">
        <v>6212</v>
      </c>
      <c r="M841" t="s">
        <v>6193</v>
      </c>
      <c r="N841">
        <v>0.5</v>
      </c>
      <c r="O841">
        <v>8.25</v>
      </c>
      <c r="P841">
        <v>1.65</v>
      </c>
      <c r="Q841">
        <v>0.90749999999999997</v>
      </c>
      <c r="R841" s="5">
        <v>41.25</v>
      </c>
    </row>
    <row r="842" spans="1:18" x14ac:dyDescent="0.25">
      <c r="A842" t="s">
        <v>1632</v>
      </c>
      <c r="B842" s="7">
        <v>44574</v>
      </c>
      <c r="C842" t="str">
        <f>TEXT(Table3[[#This Row],[Order Date]],"yyyy")</f>
        <v>2022</v>
      </c>
      <c r="D842" t="s">
        <v>6232</v>
      </c>
      <c r="E842" t="s">
        <v>1633</v>
      </c>
      <c r="F842" t="s">
        <v>163</v>
      </c>
      <c r="G842">
        <v>4</v>
      </c>
      <c r="H842" t="s">
        <v>5544</v>
      </c>
      <c r="I842" t="s">
        <v>6210</v>
      </c>
      <c r="J842" t="s">
        <v>2187</v>
      </c>
      <c r="K842" t="s">
        <v>1938</v>
      </c>
      <c r="L842" t="s">
        <v>6211</v>
      </c>
      <c r="M842" t="s">
        <v>6215</v>
      </c>
      <c r="N842">
        <v>0.5</v>
      </c>
      <c r="O842">
        <v>7.169999999999999</v>
      </c>
      <c r="P842">
        <v>1.4339999999999997</v>
      </c>
      <c r="Q842">
        <v>0.43019999999999992</v>
      </c>
      <c r="R842" s="5">
        <v>28.679999999999996</v>
      </c>
    </row>
    <row r="843" spans="1:18" x14ac:dyDescent="0.25">
      <c r="A843" t="s">
        <v>1634</v>
      </c>
      <c r="B843" s="7">
        <v>44755</v>
      </c>
      <c r="C843" t="str">
        <f>TEXT(Table3[[#This Row],[Order Date]],"yyyy")</f>
        <v>2022</v>
      </c>
      <c r="D843" t="s">
        <v>6230</v>
      </c>
      <c r="E843" t="s">
        <v>1635</v>
      </c>
      <c r="F843" t="s">
        <v>83</v>
      </c>
      <c r="G843">
        <v>1</v>
      </c>
      <c r="H843" t="s">
        <v>5548</v>
      </c>
      <c r="I843" t="s">
        <v>6210</v>
      </c>
      <c r="J843" t="s">
        <v>2444</v>
      </c>
      <c r="K843" t="s">
        <v>1947</v>
      </c>
      <c r="L843" t="s">
        <v>6199</v>
      </c>
      <c r="M843" t="s">
        <v>6193</v>
      </c>
      <c r="N843">
        <v>0.2</v>
      </c>
      <c r="O843">
        <v>4.3650000000000002</v>
      </c>
      <c r="P843">
        <v>2.1825000000000001</v>
      </c>
      <c r="Q843">
        <v>0.56745000000000001</v>
      </c>
      <c r="R843" s="5">
        <v>4.3650000000000002</v>
      </c>
    </row>
    <row r="844" spans="1:18" x14ac:dyDescent="0.25">
      <c r="A844" t="s">
        <v>1636</v>
      </c>
      <c r="B844" s="7">
        <v>44502</v>
      </c>
      <c r="C844" t="str">
        <f>TEXT(Table3[[#This Row],[Order Date]],"yyyy")</f>
        <v>2021</v>
      </c>
      <c r="D844" t="s">
        <v>6239</v>
      </c>
      <c r="E844" t="s">
        <v>1606</v>
      </c>
      <c r="F844" t="s">
        <v>70</v>
      </c>
      <c r="G844">
        <v>2</v>
      </c>
      <c r="H844" t="s">
        <v>5506</v>
      </c>
      <c r="I844" t="s">
        <v>6210</v>
      </c>
      <c r="J844" t="s">
        <v>2358</v>
      </c>
      <c r="K844" t="s">
        <v>1938</v>
      </c>
      <c r="L844" t="s">
        <v>6212</v>
      </c>
      <c r="M844" t="s">
        <v>6193</v>
      </c>
      <c r="N844">
        <v>0.2</v>
      </c>
      <c r="O844">
        <v>4.125</v>
      </c>
      <c r="P844">
        <v>2.0625</v>
      </c>
      <c r="Q844">
        <v>0.45374999999999999</v>
      </c>
      <c r="R844" s="5">
        <v>8.25</v>
      </c>
    </row>
    <row r="845" spans="1:18" x14ac:dyDescent="0.25">
      <c r="A845" t="s">
        <v>1637</v>
      </c>
      <c r="B845" s="7">
        <v>44387</v>
      </c>
      <c r="C845" t="str">
        <f>TEXT(Table3[[#This Row],[Order Date]],"yyyy")</f>
        <v>2021</v>
      </c>
      <c r="D845" t="s">
        <v>6230</v>
      </c>
      <c r="E845" t="s">
        <v>1638</v>
      </c>
      <c r="F845" t="s">
        <v>70</v>
      </c>
      <c r="G845">
        <v>2</v>
      </c>
      <c r="H845" t="s">
        <v>5556</v>
      </c>
      <c r="I845" t="s">
        <v>6210</v>
      </c>
      <c r="J845" t="s">
        <v>2695</v>
      </c>
      <c r="K845" t="s">
        <v>1938</v>
      </c>
      <c r="L845" t="s">
        <v>6212</v>
      </c>
      <c r="M845" t="s">
        <v>6193</v>
      </c>
      <c r="N845">
        <v>0.2</v>
      </c>
      <c r="O845">
        <v>4.125</v>
      </c>
      <c r="P845">
        <v>2.0625</v>
      </c>
      <c r="Q845">
        <v>0.45374999999999999</v>
      </c>
      <c r="R845" s="5">
        <v>8.25</v>
      </c>
    </row>
    <row r="846" spans="1:18" x14ac:dyDescent="0.25">
      <c r="A846" t="s">
        <v>1639</v>
      </c>
      <c r="B846" s="7">
        <v>44476</v>
      </c>
      <c r="C846" t="str">
        <f>TEXT(Table3[[#This Row],[Order Date]],"yyyy")</f>
        <v>2021</v>
      </c>
      <c r="D846" t="s">
        <v>6235</v>
      </c>
      <c r="E846" t="s">
        <v>1640</v>
      </c>
      <c r="F846" t="s">
        <v>78</v>
      </c>
      <c r="G846">
        <v>6</v>
      </c>
      <c r="H846" t="s">
        <v>5560</v>
      </c>
      <c r="I846" t="s">
        <v>6210</v>
      </c>
      <c r="J846" t="s">
        <v>3311</v>
      </c>
      <c r="K846" t="s">
        <v>1938</v>
      </c>
      <c r="L846" t="s">
        <v>6213</v>
      </c>
      <c r="M846" t="s">
        <v>6195</v>
      </c>
      <c r="N846">
        <v>0.5</v>
      </c>
      <c r="O846">
        <v>5.97</v>
      </c>
      <c r="P846">
        <v>1.194</v>
      </c>
      <c r="Q846">
        <v>0.5373</v>
      </c>
      <c r="R846" s="5">
        <v>35.82</v>
      </c>
    </row>
    <row r="847" spans="1:18" x14ac:dyDescent="0.25">
      <c r="A847" t="s">
        <v>1641</v>
      </c>
      <c r="B847" s="7">
        <v>43889</v>
      </c>
      <c r="C847" t="str">
        <f>TEXT(Table3[[#This Row],[Order Date]],"yyyy")</f>
        <v>2020</v>
      </c>
      <c r="D847" t="s">
        <v>6238</v>
      </c>
      <c r="E847" t="s">
        <v>1642</v>
      </c>
      <c r="F847" t="s">
        <v>536</v>
      </c>
      <c r="G847">
        <v>6</v>
      </c>
      <c r="H847" t="s">
        <v>5564</v>
      </c>
      <c r="I847" t="s">
        <v>6210</v>
      </c>
      <c r="J847" t="s">
        <v>2551</v>
      </c>
      <c r="K847" t="s">
        <v>1947</v>
      </c>
      <c r="L847" t="s">
        <v>6212</v>
      </c>
      <c r="M847" t="s">
        <v>6195</v>
      </c>
      <c r="N847">
        <v>2.5</v>
      </c>
      <c r="O847">
        <v>27.945</v>
      </c>
      <c r="P847">
        <v>1.1177999999999999</v>
      </c>
      <c r="Q847">
        <v>3.07395</v>
      </c>
      <c r="R847" s="5">
        <v>167.67000000000002</v>
      </c>
    </row>
    <row r="848" spans="1:18" x14ac:dyDescent="0.25">
      <c r="A848" t="s">
        <v>1643</v>
      </c>
      <c r="B848" s="7">
        <v>44747</v>
      </c>
      <c r="C848" t="str">
        <f>TEXT(Table3[[#This Row],[Order Date]],"yyyy")</f>
        <v>2022</v>
      </c>
      <c r="D848" t="s">
        <v>6230</v>
      </c>
      <c r="E848" t="s">
        <v>1644</v>
      </c>
      <c r="F848" t="s">
        <v>177</v>
      </c>
      <c r="G848">
        <v>2</v>
      </c>
      <c r="H848" t="s">
        <v>5567</v>
      </c>
      <c r="I848" t="s">
        <v>6210</v>
      </c>
      <c r="J848" t="s">
        <v>3677</v>
      </c>
      <c r="K848" t="s">
        <v>1938</v>
      </c>
      <c r="L848" t="s">
        <v>6213</v>
      </c>
      <c r="M848" t="s">
        <v>6193</v>
      </c>
      <c r="N848">
        <v>2.5</v>
      </c>
      <c r="O848">
        <v>25.874999999999996</v>
      </c>
      <c r="P848">
        <v>1.0349999999999999</v>
      </c>
      <c r="Q848">
        <v>2.3287499999999994</v>
      </c>
      <c r="R848" s="5">
        <v>51.749999999999993</v>
      </c>
    </row>
    <row r="849" spans="1:18" x14ac:dyDescent="0.25">
      <c r="A849" t="s">
        <v>1645</v>
      </c>
      <c r="B849" s="7">
        <v>44460</v>
      </c>
      <c r="C849" t="str">
        <f>TEXT(Table3[[#This Row],[Order Date]],"yyyy")</f>
        <v>2021</v>
      </c>
      <c r="D849" t="s">
        <v>6228</v>
      </c>
      <c r="E849" t="s">
        <v>1646</v>
      </c>
      <c r="F849" t="s">
        <v>60</v>
      </c>
      <c r="G849">
        <v>3</v>
      </c>
      <c r="H849" t="s">
        <v>5570</v>
      </c>
      <c r="I849" t="s">
        <v>6210</v>
      </c>
      <c r="J849" t="s">
        <v>5573</v>
      </c>
      <c r="K849" t="s">
        <v>1938</v>
      </c>
      <c r="L849" t="s">
        <v>6213</v>
      </c>
      <c r="M849" t="s">
        <v>6195</v>
      </c>
      <c r="N849">
        <v>0.2</v>
      </c>
      <c r="O849">
        <v>2.9849999999999999</v>
      </c>
      <c r="P849">
        <v>1.4924999999999999</v>
      </c>
      <c r="Q849">
        <v>0.26865</v>
      </c>
      <c r="R849" s="5">
        <v>8.9550000000000001</v>
      </c>
    </row>
    <row r="850" spans="1:18" x14ac:dyDescent="0.25">
      <c r="A850" t="s">
        <v>1647</v>
      </c>
      <c r="B850" s="7">
        <v>43468</v>
      </c>
      <c r="C850" t="str">
        <f>TEXT(Table3[[#This Row],[Order Date]],"yyyy")</f>
        <v>2019</v>
      </c>
      <c r="D850" t="s">
        <v>6232</v>
      </c>
      <c r="E850" t="s">
        <v>1648</v>
      </c>
      <c r="F850" t="s">
        <v>182</v>
      </c>
      <c r="G850">
        <v>6</v>
      </c>
      <c r="H850" t="s">
        <v>5574</v>
      </c>
      <c r="I850" t="s">
        <v>6210</v>
      </c>
      <c r="J850" t="s">
        <v>2316</v>
      </c>
      <c r="K850" t="s">
        <v>1947</v>
      </c>
      <c r="L850" t="s">
        <v>6212</v>
      </c>
      <c r="M850" t="s">
        <v>6215</v>
      </c>
      <c r="N850">
        <v>0.5</v>
      </c>
      <c r="O850">
        <v>8.91</v>
      </c>
      <c r="P850">
        <v>1.782</v>
      </c>
      <c r="Q850">
        <v>0.98009999999999997</v>
      </c>
      <c r="R850" s="5">
        <v>53.46</v>
      </c>
    </row>
    <row r="851" spans="1:18" x14ac:dyDescent="0.25">
      <c r="A851" t="s">
        <v>1649</v>
      </c>
      <c r="B851" s="7">
        <v>44628</v>
      </c>
      <c r="C851" t="str">
        <f>TEXT(Table3[[#This Row],[Order Date]],"yyyy")</f>
        <v>2022</v>
      </c>
      <c r="D851" t="s">
        <v>6234</v>
      </c>
      <c r="E851" t="s">
        <v>1650</v>
      </c>
      <c r="F851" t="s">
        <v>121</v>
      </c>
      <c r="G851">
        <v>6</v>
      </c>
      <c r="H851" t="s">
        <v>5577</v>
      </c>
      <c r="I851" t="s">
        <v>6210</v>
      </c>
      <c r="J851" t="s">
        <v>5581</v>
      </c>
      <c r="K851" t="s">
        <v>1938</v>
      </c>
      <c r="L851" t="s">
        <v>6213</v>
      </c>
      <c r="M851" t="s">
        <v>6215</v>
      </c>
      <c r="N851">
        <v>0.2</v>
      </c>
      <c r="O851">
        <v>3.8849999999999998</v>
      </c>
      <c r="P851">
        <v>1.9424999999999999</v>
      </c>
      <c r="Q851">
        <v>0.34964999999999996</v>
      </c>
      <c r="R851" s="5">
        <v>23.31</v>
      </c>
    </row>
    <row r="852" spans="1:18" x14ac:dyDescent="0.25">
      <c r="A852" t="s">
        <v>1649</v>
      </c>
      <c r="B852" s="7">
        <v>44628</v>
      </c>
      <c r="C852" t="str">
        <f>TEXT(Table3[[#This Row],[Order Date]],"yyyy")</f>
        <v>2022</v>
      </c>
      <c r="D852" t="s">
        <v>6234</v>
      </c>
      <c r="E852" t="s">
        <v>1650</v>
      </c>
      <c r="F852" t="s">
        <v>50</v>
      </c>
      <c r="G852">
        <v>2</v>
      </c>
      <c r="H852" t="s">
        <v>5577</v>
      </c>
      <c r="I852" t="s">
        <v>6210</v>
      </c>
      <c r="J852" t="s">
        <v>5581</v>
      </c>
      <c r="K852" t="s">
        <v>1938</v>
      </c>
      <c r="L852" t="s">
        <v>6213</v>
      </c>
      <c r="M852" t="s">
        <v>6193</v>
      </c>
      <c r="N852">
        <v>0.2</v>
      </c>
      <c r="O852">
        <v>3.375</v>
      </c>
      <c r="P852">
        <v>1.6875</v>
      </c>
      <c r="Q852">
        <v>0.30374999999999996</v>
      </c>
      <c r="R852" s="5">
        <v>6.75</v>
      </c>
    </row>
    <row r="853" spans="1:18" x14ac:dyDescent="0.25">
      <c r="A853" t="s">
        <v>1651</v>
      </c>
      <c r="B853" s="7">
        <v>43900</v>
      </c>
      <c r="C853" t="str">
        <f>TEXT(Table3[[#This Row],[Order Date]],"yyyy")</f>
        <v>2020</v>
      </c>
      <c r="D853" t="s">
        <v>6234</v>
      </c>
      <c r="E853" t="s">
        <v>1652</v>
      </c>
      <c r="F853" t="s">
        <v>129</v>
      </c>
      <c r="G853">
        <v>1</v>
      </c>
      <c r="H853" t="s">
        <v>5587</v>
      </c>
      <c r="I853" t="s">
        <v>6210</v>
      </c>
      <c r="J853" t="s">
        <v>3750</v>
      </c>
      <c r="K853" t="s">
        <v>1938</v>
      </c>
      <c r="L853" t="s">
        <v>6199</v>
      </c>
      <c r="M853" t="s">
        <v>6195</v>
      </c>
      <c r="N853">
        <v>0.5</v>
      </c>
      <c r="O853">
        <v>7.77</v>
      </c>
      <c r="P853">
        <v>1.5539999999999998</v>
      </c>
      <c r="Q853">
        <v>1.0101</v>
      </c>
      <c r="R853" s="5">
        <v>7.77</v>
      </c>
    </row>
    <row r="854" spans="1:18" x14ac:dyDescent="0.25">
      <c r="A854" t="s">
        <v>1653</v>
      </c>
      <c r="B854" s="7">
        <v>44527</v>
      </c>
      <c r="C854" t="str">
        <f>TEXT(Table3[[#This Row],[Order Date]],"yyyy")</f>
        <v>2021</v>
      </c>
      <c r="D854" t="s">
        <v>6239</v>
      </c>
      <c r="E854" t="s">
        <v>1654</v>
      </c>
      <c r="F854" t="s">
        <v>115</v>
      </c>
      <c r="G854">
        <v>4</v>
      </c>
      <c r="H854" t="s">
        <v>5591</v>
      </c>
      <c r="I854" t="s">
        <v>6210</v>
      </c>
      <c r="J854" t="s">
        <v>2383</v>
      </c>
      <c r="K854" t="s">
        <v>1938</v>
      </c>
      <c r="L854" t="s">
        <v>6199</v>
      </c>
      <c r="M854" t="s">
        <v>6195</v>
      </c>
      <c r="N854">
        <v>2.5</v>
      </c>
      <c r="O854">
        <v>29.784999999999997</v>
      </c>
      <c r="P854">
        <v>1.1913999999999998</v>
      </c>
      <c r="Q854">
        <v>3.8720499999999998</v>
      </c>
      <c r="R854" s="5">
        <v>119.13999999999999</v>
      </c>
    </row>
    <row r="855" spans="1:18" x14ac:dyDescent="0.25">
      <c r="A855" t="s">
        <v>1655</v>
      </c>
      <c r="B855" s="7">
        <v>44259</v>
      </c>
      <c r="C855" t="str">
        <f>TEXT(Table3[[#This Row],[Order Date]],"yyyy")</f>
        <v>2021</v>
      </c>
      <c r="D855" t="s">
        <v>6234</v>
      </c>
      <c r="E855" t="s">
        <v>1656</v>
      </c>
      <c r="F855" t="s">
        <v>33</v>
      </c>
      <c r="G855">
        <v>2</v>
      </c>
      <c r="H855" t="s">
        <v>5594</v>
      </c>
      <c r="I855" t="s">
        <v>6210</v>
      </c>
      <c r="J855" t="s">
        <v>2444</v>
      </c>
      <c r="K855" t="s">
        <v>1947</v>
      </c>
      <c r="L855" t="s">
        <v>6213</v>
      </c>
      <c r="M855" t="s">
        <v>6195</v>
      </c>
      <c r="N855">
        <v>1</v>
      </c>
      <c r="O855">
        <v>9.9499999999999993</v>
      </c>
      <c r="P855">
        <v>0.99499999999999988</v>
      </c>
      <c r="Q855">
        <v>0.89549999999999985</v>
      </c>
      <c r="R855" s="5">
        <v>19.899999999999999</v>
      </c>
    </row>
    <row r="856" spans="1:18" x14ac:dyDescent="0.25">
      <c r="A856" t="s">
        <v>1657</v>
      </c>
      <c r="B856" s="7">
        <v>44516</v>
      </c>
      <c r="C856" t="str">
        <f>TEXT(Table3[[#This Row],[Order Date]],"yyyy")</f>
        <v>2021</v>
      </c>
      <c r="D856" t="s">
        <v>6239</v>
      </c>
      <c r="E856" t="s">
        <v>1658</v>
      </c>
      <c r="F856" t="s">
        <v>163</v>
      </c>
      <c r="G856">
        <v>5</v>
      </c>
      <c r="H856" t="s">
        <v>5597</v>
      </c>
      <c r="I856" t="s">
        <v>6210</v>
      </c>
      <c r="J856" t="s">
        <v>2118</v>
      </c>
      <c r="K856" t="s">
        <v>1938</v>
      </c>
      <c r="L856" t="s">
        <v>6211</v>
      </c>
      <c r="M856" t="s">
        <v>6215</v>
      </c>
      <c r="N856">
        <v>0.5</v>
      </c>
      <c r="O856">
        <v>7.169999999999999</v>
      </c>
      <c r="P856">
        <v>1.4339999999999997</v>
      </c>
      <c r="Q856">
        <v>0.43019999999999992</v>
      </c>
      <c r="R856" s="5">
        <v>35.849999999999994</v>
      </c>
    </row>
    <row r="857" spans="1:18" x14ac:dyDescent="0.25">
      <c r="A857" t="s">
        <v>1659</v>
      </c>
      <c r="B857" s="7">
        <v>43632</v>
      </c>
      <c r="C857" t="str">
        <f>TEXT(Table3[[#This Row],[Order Date]],"yyyy")</f>
        <v>2019</v>
      </c>
      <c r="D857" t="s">
        <v>6229</v>
      </c>
      <c r="E857" t="s">
        <v>1660</v>
      </c>
      <c r="F857" t="s">
        <v>115</v>
      </c>
      <c r="G857">
        <v>3</v>
      </c>
      <c r="H857" t="s">
        <v>5601</v>
      </c>
      <c r="I857" t="s">
        <v>6210</v>
      </c>
      <c r="J857" t="s">
        <v>4881</v>
      </c>
      <c r="K857" t="s">
        <v>1947</v>
      </c>
      <c r="L857" t="s">
        <v>6199</v>
      </c>
      <c r="M857" t="s">
        <v>6195</v>
      </c>
      <c r="N857">
        <v>2.5</v>
      </c>
      <c r="O857">
        <v>29.784999999999997</v>
      </c>
      <c r="P857">
        <v>1.1913999999999998</v>
      </c>
      <c r="Q857">
        <v>3.8720499999999998</v>
      </c>
      <c r="R857" s="5">
        <v>89.35499999999999</v>
      </c>
    </row>
    <row r="858" spans="1:18" x14ac:dyDescent="0.25">
      <c r="A858" t="s">
        <v>1661</v>
      </c>
      <c r="B858" s="7">
        <v>44031</v>
      </c>
      <c r="C858" t="str">
        <f>TEXT(Table3[[#This Row],[Order Date]],"yyyy")</f>
        <v>2020</v>
      </c>
      <c r="D858" t="s">
        <v>6230</v>
      </c>
      <c r="E858" t="s">
        <v>1606</v>
      </c>
      <c r="F858" t="s">
        <v>83</v>
      </c>
      <c r="G858">
        <v>2</v>
      </c>
      <c r="H858" t="s">
        <v>5506</v>
      </c>
      <c r="I858" t="s">
        <v>6210</v>
      </c>
      <c r="J858" t="s">
        <v>2358</v>
      </c>
      <c r="K858" t="s">
        <v>1938</v>
      </c>
      <c r="L858" t="s">
        <v>6199</v>
      </c>
      <c r="M858" t="s">
        <v>6193</v>
      </c>
      <c r="N858">
        <v>0.2</v>
      </c>
      <c r="O858">
        <v>4.3650000000000002</v>
      </c>
      <c r="P858">
        <v>2.1825000000000001</v>
      </c>
      <c r="Q858">
        <v>0.56745000000000001</v>
      </c>
      <c r="R858" s="5">
        <v>8.73</v>
      </c>
    </row>
    <row r="859" spans="1:18" x14ac:dyDescent="0.25">
      <c r="A859" t="s">
        <v>1662</v>
      </c>
      <c r="B859" s="7">
        <v>43889</v>
      </c>
      <c r="C859" t="str">
        <f>TEXT(Table3[[#This Row],[Order Date]],"yyyy")</f>
        <v>2020</v>
      </c>
      <c r="D859" t="s">
        <v>6238</v>
      </c>
      <c r="E859" t="s">
        <v>1663</v>
      </c>
      <c r="F859" t="s">
        <v>16</v>
      </c>
      <c r="G859">
        <v>5</v>
      </c>
      <c r="H859" t="s">
        <v>5611</v>
      </c>
      <c r="I859" t="s">
        <v>6210</v>
      </c>
      <c r="J859" t="s">
        <v>5420</v>
      </c>
      <c r="K859" t="s">
        <v>1947</v>
      </c>
      <c r="L859" t="s">
        <v>6211</v>
      </c>
      <c r="M859" t="s">
        <v>6215</v>
      </c>
      <c r="N859">
        <v>2.5</v>
      </c>
      <c r="O859">
        <v>27.484999999999996</v>
      </c>
      <c r="P859">
        <v>1.0993999999999999</v>
      </c>
      <c r="Q859">
        <v>1.6490999999999998</v>
      </c>
      <c r="R859" s="5">
        <v>137.42499999999998</v>
      </c>
    </row>
    <row r="860" spans="1:18" x14ac:dyDescent="0.25">
      <c r="A860" t="s">
        <v>1664</v>
      </c>
      <c r="B860" s="7">
        <v>43638</v>
      </c>
      <c r="C860" t="str">
        <f>TEXT(Table3[[#This Row],[Order Date]],"yyyy")</f>
        <v>2019</v>
      </c>
      <c r="D860" t="s">
        <v>6229</v>
      </c>
      <c r="E860" t="s">
        <v>1665</v>
      </c>
      <c r="F860" t="s">
        <v>84</v>
      </c>
      <c r="G860">
        <v>4</v>
      </c>
      <c r="H860" t="s">
        <v>5615</v>
      </c>
      <c r="I860" t="s">
        <v>6210</v>
      </c>
      <c r="J860" t="s">
        <v>2546</v>
      </c>
      <c r="K860" t="s">
        <v>1947</v>
      </c>
      <c r="L860" t="s">
        <v>6199</v>
      </c>
      <c r="M860" t="s">
        <v>6193</v>
      </c>
      <c r="N860">
        <v>0.5</v>
      </c>
      <c r="O860">
        <v>8.73</v>
      </c>
      <c r="P860">
        <v>1.746</v>
      </c>
      <c r="Q860">
        <v>1.1349</v>
      </c>
      <c r="R860" s="5">
        <v>34.92</v>
      </c>
    </row>
    <row r="861" spans="1:18" x14ac:dyDescent="0.25">
      <c r="A861" t="s">
        <v>1666</v>
      </c>
      <c r="B861" s="7">
        <v>43716</v>
      </c>
      <c r="C861" t="str">
        <f>TEXT(Table3[[#This Row],[Order Date]],"yyyy")</f>
        <v>2019</v>
      </c>
      <c r="D861" t="s">
        <v>6228</v>
      </c>
      <c r="E861" t="s">
        <v>1667</v>
      </c>
      <c r="F861" t="s">
        <v>210</v>
      </c>
      <c r="G861">
        <v>6</v>
      </c>
      <c r="H861" t="s">
        <v>5619</v>
      </c>
      <c r="I861" t="s">
        <v>6210</v>
      </c>
      <c r="J861" t="s">
        <v>5023</v>
      </c>
      <c r="K861" t="s">
        <v>1947</v>
      </c>
      <c r="L861" t="s">
        <v>6213</v>
      </c>
      <c r="M861" t="s">
        <v>6215</v>
      </c>
      <c r="N861">
        <v>2.5</v>
      </c>
      <c r="O861">
        <v>29.784999999999997</v>
      </c>
      <c r="P861">
        <v>1.1913999999999998</v>
      </c>
      <c r="Q861">
        <v>2.6806499999999995</v>
      </c>
      <c r="R861" s="5">
        <v>178.70999999999998</v>
      </c>
    </row>
    <row r="862" spans="1:18" x14ac:dyDescent="0.25">
      <c r="A862" t="s">
        <v>1668</v>
      </c>
      <c r="B862" s="7">
        <v>44707</v>
      </c>
      <c r="C862" t="str">
        <f>TEXT(Table3[[#This Row],[Order Date]],"yyyy")</f>
        <v>2022</v>
      </c>
      <c r="D862" t="s">
        <v>6233</v>
      </c>
      <c r="E862" t="s">
        <v>1669</v>
      </c>
      <c r="F862" t="s">
        <v>177</v>
      </c>
      <c r="G862">
        <v>1</v>
      </c>
      <c r="H862" t="s">
        <v>5623</v>
      </c>
      <c r="I862" t="s">
        <v>6210</v>
      </c>
      <c r="J862" t="s">
        <v>4232</v>
      </c>
      <c r="K862" t="s">
        <v>1947</v>
      </c>
      <c r="L862" t="s">
        <v>6213</v>
      </c>
      <c r="M862" t="s">
        <v>6193</v>
      </c>
      <c r="N862">
        <v>2.5</v>
      </c>
      <c r="O862">
        <v>25.874999999999996</v>
      </c>
      <c r="P862">
        <v>1.0349999999999999</v>
      </c>
      <c r="Q862">
        <v>2.3287499999999994</v>
      </c>
      <c r="R862" s="5">
        <v>25.874999999999996</v>
      </c>
    </row>
    <row r="863" spans="1:18" x14ac:dyDescent="0.25">
      <c r="A863" t="s">
        <v>1670</v>
      </c>
      <c r="B863" s="7">
        <v>43802</v>
      </c>
      <c r="C863" t="str">
        <f>TEXT(Table3[[#This Row],[Order Date]],"yyyy")</f>
        <v>2019</v>
      </c>
      <c r="D863" t="s">
        <v>6237</v>
      </c>
      <c r="E863" t="s">
        <v>1671</v>
      </c>
      <c r="F863" t="s">
        <v>19</v>
      </c>
      <c r="G863">
        <v>6</v>
      </c>
      <c r="H863" t="s">
        <v>5626</v>
      </c>
      <c r="I863" t="s">
        <v>6210</v>
      </c>
      <c r="J863" t="s">
        <v>3407</v>
      </c>
      <c r="K863" t="s">
        <v>1938</v>
      </c>
      <c r="L863" t="s">
        <v>6199</v>
      </c>
      <c r="M863" t="s">
        <v>6195</v>
      </c>
      <c r="N863">
        <v>1</v>
      </c>
      <c r="O863">
        <v>12.95</v>
      </c>
      <c r="P863">
        <v>1.2949999999999999</v>
      </c>
      <c r="Q863">
        <v>1.6835</v>
      </c>
      <c r="R863" s="5">
        <v>77.699999999999989</v>
      </c>
    </row>
    <row r="864" spans="1:18" x14ac:dyDescent="0.25">
      <c r="A864" t="s">
        <v>1672</v>
      </c>
      <c r="B864" s="7">
        <v>43725</v>
      </c>
      <c r="C864" t="str">
        <f>TEXT(Table3[[#This Row],[Order Date]],"yyyy")</f>
        <v>2019</v>
      </c>
      <c r="D864" t="s">
        <v>6228</v>
      </c>
      <c r="E864" t="s">
        <v>1673</v>
      </c>
      <c r="F864" t="s">
        <v>8</v>
      </c>
      <c r="G864">
        <v>1</v>
      </c>
      <c r="H864" t="s">
        <v>5630</v>
      </c>
      <c r="I864" t="s">
        <v>6210</v>
      </c>
      <c r="J864" t="s">
        <v>1982</v>
      </c>
      <c r="K864" t="s">
        <v>1938</v>
      </c>
      <c r="L864" t="s">
        <v>6211</v>
      </c>
      <c r="M864" t="s">
        <v>6193</v>
      </c>
      <c r="N864">
        <v>1</v>
      </c>
      <c r="O864">
        <v>9.9499999999999993</v>
      </c>
      <c r="P864">
        <v>0.99499999999999988</v>
      </c>
      <c r="Q864">
        <v>0.59699999999999998</v>
      </c>
      <c r="R864" s="5">
        <v>9.9499999999999993</v>
      </c>
    </row>
    <row r="865" spans="1:18" x14ac:dyDescent="0.25">
      <c r="A865" t="s">
        <v>1674</v>
      </c>
      <c r="B865" s="7">
        <v>44712</v>
      </c>
      <c r="C865" t="str">
        <f>TEXT(Table3[[#This Row],[Order Date]],"yyyy")</f>
        <v>2022</v>
      </c>
      <c r="D865" t="s">
        <v>6233</v>
      </c>
      <c r="E865" t="s">
        <v>1675</v>
      </c>
      <c r="F865" t="s">
        <v>102</v>
      </c>
      <c r="G865">
        <v>2</v>
      </c>
      <c r="H865" t="s">
        <v>5634</v>
      </c>
      <c r="I865" t="s">
        <v>6210</v>
      </c>
      <c r="J865" t="s">
        <v>3576</v>
      </c>
      <c r="K865" t="s">
        <v>1938</v>
      </c>
      <c r="L865" t="s">
        <v>6199</v>
      </c>
      <c r="M865" t="s">
        <v>6193</v>
      </c>
      <c r="N865">
        <v>1</v>
      </c>
      <c r="O865">
        <v>14.55</v>
      </c>
      <c r="P865">
        <v>1.4550000000000001</v>
      </c>
      <c r="Q865">
        <v>1.8915000000000002</v>
      </c>
      <c r="R865" s="5">
        <v>29.1</v>
      </c>
    </row>
    <row r="866" spans="1:18" x14ac:dyDescent="0.25">
      <c r="A866" t="s">
        <v>1676</v>
      </c>
      <c r="B866" s="7">
        <v>43759</v>
      </c>
      <c r="C866" t="str">
        <f>TEXT(Table3[[#This Row],[Order Date]],"yyyy")</f>
        <v>2019</v>
      </c>
      <c r="D866" t="s">
        <v>6235</v>
      </c>
      <c r="E866" t="s">
        <v>1677</v>
      </c>
      <c r="F866" t="s">
        <v>188</v>
      </c>
      <c r="G866">
        <v>6</v>
      </c>
      <c r="H866" t="s">
        <v>5638</v>
      </c>
      <c r="I866" t="s">
        <v>1945</v>
      </c>
      <c r="J866" t="s">
        <v>5157</v>
      </c>
      <c r="K866" t="s">
        <v>1947</v>
      </c>
      <c r="L866" t="s">
        <v>6211</v>
      </c>
      <c r="M866" t="s">
        <v>6215</v>
      </c>
      <c r="N866">
        <v>0.2</v>
      </c>
      <c r="O866">
        <v>3.5849999999999995</v>
      </c>
      <c r="P866">
        <v>1.7924999999999998</v>
      </c>
      <c r="Q866">
        <v>0.21509999999999996</v>
      </c>
      <c r="R866" s="5">
        <v>21.509999999999998</v>
      </c>
    </row>
    <row r="867" spans="1:18" x14ac:dyDescent="0.25">
      <c r="A867" t="s">
        <v>1678</v>
      </c>
      <c r="B867" s="7">
        <v>44675</v>
      </c>
      <c r="C867" t="str">
        <f>TEXT(Table3[[#This Row],[Order Date]],"yyyy")</f>
        <v>2022</v>
      </c>
      <c r="D867" t="s">
        <v>6236</v>
      </c>
      <c r="E867" t="s">
        <v>1679</v>
      </c>
      <c r="F867" t="s">
        <v>73</v>
      </c>
      <c r="G867">
        <v>1</v>
      </c>
      <c r="H867" t="s">
        <v>5677</v>
      </c>
      <c r="I867" t="s">
        <v>6210</v>
      </c>
      <c r="J867" t="s">
        <v>2118</v>
      </c>
      <c r="K867" t="s">
        <v>1938</v>
      </c>
      <c r="L867" t="s">
        <v>6213</v>
      </c>
      <c r="M867" t="s">
        <v>6193</v>
      </c>
      <c r="N867">
        <v>0.5</v>
      </c>
      <c r="O867">
        <v>6.75</v>
      </c>
      <c r="P867">
        <v>1.35</v>
      </c>
      <c r="Q867">
        <v>0.60749999999999993</v>
      </c>
      <c r="R867" s="5">
        <v>6.75</v>
      </c>
    </row>
    <row r="868" spans="1:18" x14ac:dyDescent="0.25">
      <c r="A868" t="s">
        <v>1680</v>
      </c>
      <c r="B868" s="7">
        <v>44209</v>
      </c>
      <c r="C868" t="str">
        <f>TEXT(Table3[[#This Row],[Order Date]],"yyyy")</f>
        <v>2021</v>
      </c>
      <c r="D868" t="s">
        <v>6232</v>
      </c>
      <c r="E868" t="s">
        <v>1681</v>
      </c>
      <c r="F868" t="s">
        <v>78</v>
      </c>
      <c r="G868">
        <v>3</v>
      </c>
      <c r="H868" t="s">
        <v>5646</v>
      </c>
      <c r="I868" t="s">
        <v>1945</v>
      </c>
      <c r="J868" t="s">
        <v>5650</v>
      </c>
      <c r="K868" t="s">
        <v>1947</v>
      </c>
      <c r="L868" t="s">
        <v>6213</v>
      </c>
      <c r="M868" t="s">
        <v>6195</v>
      </c>
      <c r="N868">
        <v>0.5</v>
      </c>
      <c r="O868">
        <v>5.97</v>
      </c>
      <c r="P868">
        <v>1.194</v>
      </c>
      <c r="Q868">
        <v>0.5373</v>
      </c>
      <c r="R868" s="5">
        <v>17.91</v>
      </c>
    </row>
    <row r="869" spans="1:18" x14ac:dyDescent="0.25">
      <c r="A869" t="s">
        <v>1682</v>
      </c>
      <c r="B869" s="7">
        <v>44792</v>
      </c>
      <c r="C869" t="str">
        <f>TEXT(Table3[[#This Row],[Order Date]],"yyyy")</f>
        <v>2022</v>
      </c>
      <c r="D869" t="s">
        <v>6231</v>
      </c>
      <c r="E869" t="s">
        <v>1683</v>
      </c>
      <c r="F869" t="s">
        <v>210</v>
      </c>
      <c r="G869">
        <v>1</v>
      </c>
      <c r="H869" t="s">
        <v>5651</v>
      </c>
      <c r="I869" t="s">
        <v>1945</v>
      </c>
      <c r="J869" t="s">
        <v>5654</v>
      </c>
      <c r="K869" t="s">
        <v>1938</v>
      </c>
      <c r="L869" t="s">
        <v>6213</v>
      </c>
      <c r="M869" t="s">
        <v>6215</v>
      </c>
      <c r="N869">
        <v>2.5</v>
      </c>
      <c r="O869">
        <v>29.784999999999997</v>
      </c>
      <c r="P869">
        <v>1.1913999999999998</v>
      </c>
      <c r="Q869">
        <v>2.6806499999999995</v>
      </c>
      <c r="R869" s="5">
        <v>29.784999999999997</v>
      </c>
    </row>
    <row r="870" spans="1:18" x14ac:dyDescent="0.25">
      <c r="A870" t="s">
        <v>1684</v>
      </c>
      <c r="B870" s="7">
        <v>43526</v>
      </c>
      <c r="C870" t="str">
        <f>TEXT(Table3[[#This Row],[Order Date]],"yyyy")</f>
        <v>2019</v>
      </c>
      <c r="D870" t="s">
        <v>6234</v>
      </c>
      <c r="E870" t="s">
        <v>1685</v>
      </c>
      <c r="F870" t="s">
        <v>9</v>
      </c>
      <c r="G870">
        <v>5</v>
      </c>
      <c r="H870" t="s">
        <v>5656</v>
      </c>
      <c r="I870" t="s">
        <v>6210</v>
      </c>
      <c r="J870" t="s">
        <v>2856</v>
      </c>
      <c r="K870" t="s">
        <v>1938</v>
      </c>
      <c r="L870" t="s">
        <v>6212</v>
      </c>
      <c r="M870" t="s">
        <v>6193</v>
      </c>
      <c r="N870">
        <v>0.5</v>
      </c>
      <c r="O870">
        <v>8.25</v>
      </c>
      <c r="P870">
        <v>1.65</v>
      </c>
      <c r="Q870">
        <v>0.90749999999999997</v>
      </c>
      <c r="R870" s="5">
        <v>41.25</v>
      </c>
    </row>
    <row r="871" spans="1:18" x14ac:dyDescent="0.25">
      <c r="A871" t="s">
        <v>1686</v>
      </c>
      <c r="B871" s="7">
        <v>43851</v>
      </c>
      <c r="C871" t="str">
        <f>TEXT(Table3[[#This Row],[Order Date]],"yyyy")</f>
        <v>2020</v>
      </c>
      <c r="D871" t="s">
        <v>6232</v>
      </c>
      <c r="E871" t="s">
        <v>1687</v>
      </c>
      <c r="F871" t="s">
        <v>28</v>
      </c>
      <c r="G871">
        <v>3</v>
      </c>
      <c r="H871" t="s">
        <v>5660</v>
      </c>
      <c r="I871" t="s">
        <v>6210</v>
      </c>
      <c r="J871" t="s">
        <v>2994</v>
      </c>
      <c r="K871" t="s">
        <v>1938</v>
      </c>
      <c r="L871" t="s">
        <v>6211</v>
      </c>
      <c r="M871" t="s">
        <v>6193</v>
      </c>
      <c r="N871">
        <v>0.5</v>
      </c>
      <c r="O871">
        <v>5.97</v>
      </c>
      <c r="P871">
        <v>1.194</v>
      </c>
      <c r="Q871">
        <v>0.35819999999999996</v>
      </c>
      <c r="R871" s="5">
        <v>17.91</v>
      </c>
    </row>
    <row r="872" spans="1:18" x14ac:dyDescent="0.25">
      <c r="A872" t="s">
        <v>1688</v>
      </c>
      <c r="B872" s="7">
        <v>44460</v>
      </c>
      <c r="C872" t="str">
        <f>TEXT(Table3[[#This Row],[Order Date]],"yyyy")</f>
        <v>2021</v>
      </c>
      <c r="D872" t="s">
        <v>6228</v>
      </c>
      <c r="E872" t="s">
        <v>1689</v>
      </c>
      <c r="F872" t="s">
        <v>22</v>
      </c>
      <c r="G872">
        <v>1</v>
      </c>
      <c r="H872" t="s">
        <v>5663</v>
      </c>
      <c r="I872" t="s">
        <v>1945</v>
      </c>
      <c r="J872" t="s">
        <v>2078</v>
      </c>
      <c r="K872" t="s">
        <v>1938</v>
      </c>
      <c r="L872" t="s">
        <v>6212</v>
      </c>
      <c r="M872" t="s">
        <v>6195</v>
      </c>
      <c r="N872">
        <v>0.5</v>
      </c>
      <c r="O872">
        <v>7.29</v>
      </c>
      <c r="P872">
        <v>1.458</v>
      </c>
      <c r="Q872">
        <v>0.80190000000000006</v>
      </c>
      <c r="R872" s="5">
        <v>7.29</v>
      </c>
    </row>
    <row r="873" spans="1:18" x14ac:dyDescent="0.25">
      <c r="A873" t="s">
        <v>1690</v>
      </c>
      <c r="B873" s="7">
        <v>43707</v>
      </c>
      <c r="C873" t="str">
        <f>TEXT(Table3[[#This Row],[Order Date]],"yyyy")</f>
        <v>2019</v>
      </c>
      <c r="D873" t="s">
        <v>6231</v>
      </c>
      <c r="E873" t="s">
        <v>1691</v>
      </c>
      <c r="F873" t="s">
        <v>143</v>
      </c>
      <c r="G873">
        <v>2</v>
      </c>
      <c r="H873" t="s">
        <v>5667</v>
      </c>
      <c r="I873" t="s">
        <v>2112</v>
      </c>
      <c r="J873" t="s">
        <v>5671</v>
      </c>
      <c r="K873" t="s">
        <v>1938</v>
      </c>
      <c r="L873" t="s">
        <v>6212</v>
      </c>
      <c r="M873" t="s">
        <v>6215</v>
      </c>
      <c r="N873">
        <v>1</v>
      </c>
      <c r="O873">
        <v>14.85</v>
      </c>
      <c r="P873">
        <v>1.4849999999999999</v>
      </c>
      <c r="Q873">
        <v>1.6335</v>
      </c>
      <c r="R873" s="5">
        <v>29.7</v>
      </c>
    </row>
    <row r="874" spans="1:18" x14ac:dyDescent="0.25">
      <c r="A874" t="s">
        <v>1692</v>
      </c>
      <c r="B874" s="7">
        <v>43521</v>
      </c>
      <c r="C874" t="str">
        <f>TEXT(Table3[[#This Row],[Order Date]],"yyyy")</f>
        <v>2019</v>
      </c>
      <c r="D874" t="s">
        <v>6238</v>
      </c>
      <c r="E874" t="s">
        <v>1693</v>
      </c>
      <c r="F874" t="s">
        <v>67</v>
      </c>
      <c r="G874">
        <v>2</v>
      </c>
      <c r="H874" t="s">
        <v>5673</v>
      </c>
      <c r="I874" t="s">
        <v>6210</v>
      </c>
      <c r="J874" t="s">
        <v>3682</v>
      </c>
      <c r="K874" t="s">
        <v>1947</v>
      </c>
      <c r="L874" t="s">
        <v>6213</v>
      </c>
      <c r="M874" t="s">
        <v>6193</v>
      </c>
      <c r="N874">
        <v>1</v>
      </c>
      <c r="O874">
        <v>11.25</v>
      </c>
      <c r="P874">
        <v>1.125</v>
      </c>
      <c r="Q874">
        <v>1.0125</v>
      </c>
      <c r="R874" s="5">
        <v>22.5</v>
      </c>
    </row>
    <row r="875" spans="1:18" x14ac:dyDescent="0.25">
      <c r="A875" t="s">
        <v>1694</v>
      </c>
      <c r="B875" s="7">
        <v>43725</v>
      </c>
      <c r="C875" t="str">
        <f>TEXT(Table3[[#This Row],[Order Date]],"yyyy")</f>
        <v>2019</v>
      </c>
      <c r="D875" t="s">
        <v>6228</v>
      </c>
      <c r="E875" t="s">
        <v>1679</v>
      </c>
      <c r="F875" t="s">
        <v>168</v>
      </c>
      <c r="G875">
        <v>4</v>
      </c>
      <c r="H875" t="s">
        <v>5677</v>
      </c>
      <c r="I875" t="s">
        <v>6210</v>
      </c>
      <c r="J875" t="s">
        <v>2118</v>
      </c>
      <c r="K875" t="s">
        <v>1938</v>
      </c>
      <c r="L875" t="s">
        <v>6211</v>
      </c>
      <c r="M875" t="s">
        <v>6193</v>
      </c>
      <c r="N875">
        <v>0.2</v>
      </c>
      <c r="O875">
        <v>2.9849999999999999</v>
      </c>
      <c r="P875">
        <v>1.4924999999999999</v>
      </c>
      <c r="Q875">
        <v>0.17909999999999998</v>
      </c>
      <c r="R875" s="5">
        <v>11.94</v>
      </c>
    </row>
    <row r="876" spans="1:18" x14ac:dyDescent="0.25">
      <c r="A876" t="s">
        <v>1695</v>
      </c>
      <c r="B876" s="7">
        <v>43680</v>
      </c>
      <c r="C876" t="str">
        <f>TEXT(Table3[[#This Row],[Order Date]],"yyyy")</f>
        <v>2019</v>
      </c>
      <c r="D876" t="s">
        <v>6231</v>
      </c>
      <c r="E876" t="s">
        <v>1696</v>
      </c>
      <c r="F876" t="s">
        <v>12</v>
      </c>
      <c r="G876">
        <v>2</v>
      </c>
      <c r="H876" t="s">
        <v>5681</v>
      </c>
      <c r="I876" t="s">
        <v>6210</v>
      </c>
      <c r="J876" t="s">
        <v>2023</v>
      </c>
      <c r="K876" t="s">
        <v>1947</v>
      </c>
      <c r="L876" t="s">
        <v>6213</v>
      </c>
      <c r="M876" t="s">
        <v>6215</v>
      </c>
      <c r="N876">
        <v>1</v>
      </c>
      <c r="O876">
        <v>12.95</v>
      </c>
      <c r="P876">
        <v>1.2949999999999999</v>
      </c>
      <c r="Q876">
        <v>1.1655</v>
      </c>
      <c r="R876" s="5">
        <v>25.9</v>
      </c>
    </row>
    <row r="877" spans="1:18" x14ac:dyDescent="0.25">
      <c r="A877" t="s">
        <v>1697</v>
      </c>
      <c r="B877" s="7">
        <v>44253</v>
      </c>
      <c r="C877" t="str">
        <f>TEXT(Table3[[#This Row],[Order Date]],"yyyy")</f>
        <v>2021</v>
      </c>
      <c r="D877" t="s">
        <v>6238</v>
      </c>
      <c r="E877" t="s">
        <v>1698</v>
      </c>
      <c r="F877" t="s">
        <v>84</v>
      </c>
      <c r="G877">
        <v>5</v>
      </c>
      <c r="H877" t="s">
        <v>5685</v>
      </c>
      <c r="I877" t="s">
        <v>1945</v>
      </c>
      <c r="J877" t="s">
        <v>2407</v>
      </c>
      <c r="K877" t="s">
        <v>1947</v>
      </c>
      <c r="L877" t="s">
        <v>6199</v>
      </c>
      <c r="M877" t="s">
        <v>6193</v>
      </c>
      <c r="N877">
        <v>0.5</v>
      </c>
      <c r="O877">
        <v>8.73</v>
      </c>
      <c r="P877">
        <v>1.746</v>
      </c>
      <c r="Q877">
        <v>1.1349</v>
      </c>
      <c r="R877" s="5">
        <v>43.650000000000006</v>
      </c>
    </row>
    <row r="878" spans="1:18" x14ac:dyDescent="0.25">
      <c r="A878" t="s">
        <v>1697</v>
      </c>
      <c r="B878" s="7">
        <v>44253</v>
      </c>
      <c r="C878" t="str">
        <f>TEXT(Table3[[#This Row],[Order Date]],"yyyy")</f>
        <v>2021</v>
      </c>
      <c r="D878" t="s">
        <v>6238</v>
      </c>
      <c r="E878" t="s">
        <v>1698</v>
      </c>
      <c r="F878" t="s">
        <v>198</v>
      </c>
      <c r="G878">
        <v>6</v>
      </c>
      <c r="H878" t="s">
        <v>5685</v>
      </c>
      <c r="I878" t="s">
        <v>1945</v>
      </c>
      <c r="J878" t="s">
        <v>2407</v>
      </c>
      <c r="K878" t="s">
        <v>1947</v>
      </c>
      <c r="L878" t="s">
        <v>6213</v>
      </c>
      <c r="M878" t="s">
        <v>6215</v>
      </c>
      <c r="N878">
        <v>0.5</v>
      </c>
      <c r="O878">
        <v>7.77</v>
      </c>
      <c r="P878">
        <v>1.5539999999999998</v>
      </c>
      <c r="Q878">
        <v>0.69929999999999992</v>
      </c>
      <c r="R878" s="5">
        <v>46.62</v>
      </c>
    </row>
    <row r="879" spans="1:18" x14ac:dyDescent="0.25">
      <c r="A879" t="s">
        <v>1699</v>
      </c>
      <c r="B879" s="7">
        <v>44411</v>
      </c>
      <c r="C879" t="str">
        <f>TEXT(Table3[[#This Row],[Order Date]],"yyyy")</f>
        <v>2021</v>
      </c>
      <c r="D879" t="s">
        <v>6231</v>
      </c>
      <c r="E879" t="s">
        <v>1700</v>
      </c>
      <c r="F879" t="s">
        <v>89</v>
      </c>
      <c r="G879">
        <v>3</v>
      </c>
      <c r="H879" t="s">
        <v>5694</v>
      </c>
      <c r="I879" t="s">
        <v>6210</v>
      </c>
      <c r="J879" t="s">
        <v>2252</v>
      </c>
      <c r="K879" t="s">
        <v>1947</v>
      </c>
      <c r="L879" t="s">
        <v>6199</v>
      </c>
      <c r="M879" t="s">
        <v>6215</v>
      </c>
      <c r="N879">
        <v>0.5</v>
      </c>
      <c r="O879">
        <v>9.51</v>
      </c>
      <c r="P879">
        <v>1.9019999999999999</v>
      </c>
      <c r="Q879">
        <v>1.2363</v>
      </c>
      <c r="R879" s="5">
        <v>28.53</v>
      </c>
    </row>
    <row r="880" spans="1:18" x14ac:dyDescent="0.25">
      <c r="A880" t="s">
        <v>1701</v>
      </c>
      <c r="B880" s="7">
        <v>44323</v>
      </c>
      <c r="C880" t="str">
        <f>TEXT(Table3[[#This Row],[Order Date]],"yyyy")</f>
        <v>2021</v>
      </c>
      <c r="D880" t="s">
        <v>6233</v>
      </c>
      <c r="E880" t="s">
        <v>1702</v>
      </c>
      <c r="F880" t="s">
        <v>16</v>
      </c>
      <c r="G880">
        <v>1</v>
      </c>
      <c r="H880" t="s">
        <v>5698</v>
      </c>
      <c r="I880" t="s">
        <v>6210</v>
      </c>
      <c r="J880" t="s">
        <v>3487</v>
      </c>
      <c r="K880" t="s">
        <v>1938</v>
      </c>
      <c r="L880" t="s">
        <v>6211</v>
      </c>
      <c r="M880" t="s">
        <v>6215</v>
      </c>
      <c r="N880">
        <v>2.5</v>
      </c>
      <c r="O880">
        <v>27.484999999999996</v>
      </c>
      <c r="P880">
        <v>1.0993999999999999</v>
      </c>
      <c r="Q880">
        <v>1.6490999999999998</v>
      </c>
      <c r="R880" s="5">
        <v>27.484999999999996</v>
      </c>
    </row>
    <row r="881" spans="1:18" x14ac:dyDescent="0.25">
      <c r="A881" t="s">
        <v>1703</v>
      </c>
      <c r="B881" s="7">
        <v>43630</v>
      </c>
      <c r="C881" t="str">
        <f>TEXT(Table3[[#This Row],[Order Date]],"yyyy")</f>
        <v>2019</v>
      </c>
      <c r="D881" t="s">
        <v>6229</v>
      </c>
      <c r="E881" t="s">
        <v>1704</v>
      </c>
      <c r="F881" t="s">
        <v>57</v>
      </c>
      <c r="G881">
        <v>3</v>
      </c>
      <c r="H881" t="s">
        <v>5701</v>
      </c>
      <c r="I881" t="s">
        <v>6210</v>
      </c>
      <c r="J881" t="s">
        <v>2059</v>
      </c>
      <c r="K881" t="s">
        <v>1947</v>
      </c>
      <c r="L881" t="s">
        <v>6212</v>
      </c>
      <c r="M881" t="s">
        <v>6195</v>
      </c>
      <c r="N881">
        <v>0.2</v>
      </c>
      <c r="O881">
        <v>3.645</v>
      </c>
      <c r="P881">
        <v>1.8225</v>
      </c>
      <c r="Q881">
        <v>0.40095000000000003</v>
      </c>
      <c r="R881" s="5">
        <v>10.935</v>
      </c>
    </row>
    <row r="882" spans="1:18" x14ac:dyDescent="0.25">
      <c r="A882" t="s">
        <v>1705</v>
      </c>
      <c r="B882" s="7">
        <v>43790</v>
      </c>
      <c r="C882" t="str">
        <f>TEXT(Table3[[#This Row],[Order Date]],"yyyy")</f>
        <v>2019</v>
      </c>
      <c r="D882" t="s">
        <v>6239</v>
      </c>
      <c r="E882" t="s">
        <v>1706</v>
      </c>
      <c r="F882" t="s">
        <v>188</v>
      </c>
      <c r="G882">
        <v>2</v>
      </c>
      <c r="H882" t="s">
        <v>5704</v>
      </c>
      <c r="I882" t="s">
        <v>6210</v>
      </c>
      <c r="J882" t="s">
        <v>5708</v>
      </c>
      <c r="K882" t="s">
        <v>1947</v>
      </c>
      <c r="L882" t="s">
        <v>6211</v>
      </c>
      <c r="M882" t="s">
        <v>6215</v>
      </c>
      <c r="N882">
        <v>0.2</v>
      </c>
      <c r="O882">
        <v>3.5849999999999995</v>
      </c>
      <c r="P882">
        <v>1.7924999999999998</v>
      </c>
      <c r="Q882">
        <v>0.21509999999999996</v>
      </c>
      <c r="R882" s="5">
        <v>7.169999999999999</v>
      </c>
    </row>
    <row r="883" spans="1:18" x14ac:dyDescent="0.25">
      <c r="A883" t="s">
        <v>1707</v>
      </c>
      <c r="B883" s="7">
        <v>44286</v>
      </c>
      <c r="C883" t="str">
        <f>TEXT(Table3[[#This Row],[Order Date]],"yyyy")</f>
        <v>2021</v>
      </c>
      <c r="D883" t="s">
        <v>6234</v>
      </c>
      <c r="E883" t="s">
        <v>1708</v>
      </c>
      <c r="F883" t="s">
        <v>121</v>
      </c>
      <c r="G883">
        <v>6</v>
      </c>
      <c r="H883" t="s">
        <v>5709</v>
      </c>
      <c r="I883" t="s">
        <v>6210</v>
      </c>
      <c r="J883" t="s">
        <v>5210</v>
      </c>
      <c r="K883" t="s">
        <v>1938</v>
      </c>
      <c r="L883" t="s">
        <v>6213</v>
      </c>
      <c r="M883" t="s">
        <v>6215</v>
      </c>
      <c r="N883">
        <v>0.2</v>
      </c>
      <c r="O883">
        <v>3.8849999999999998</v>
      </c>
      <c r="P883">
        <v>1.9424999999999999</v>
      </c>
      <c r="Q883">
        <v>0.34964999999999996</v>
      </c>
      <c r="R883" s="5">
        <v>23.31</v>
      </c>
    </row>
    <row r="884" spans="1:18" x14ac:dyDescent="0.25">
      <c r="A884" t="s">
        <v>1709</v>
      </c>
      <c r="B884" s="7">
        <v>43647</v>
      </c>
      <c r="C884" t="str">
        <f>TEXT(Table3[[#This Row],[Order Date]],"yyyy")</f>
        <v>2019</v>
      </c>
      <c r="D884" t="s">
        <v>6230</v>
      </c>
      <c r="E884" t="s">
        <v>1710</v>
      </c>
      <c r="F884" t="s">
        <v>124</v>
      </c>
      <c r="G884">
        <v>5</v>
      </c>
      <c r="H884" t="s">
        <v>5746</v>
      </c>
      <c r="I884" t="s">
        <v>6210</v>
      </c>
      <c r="J884" t="s">
        <v>2128</v>
      </c>
      <c r="K884" t="s">
        <v>1938</v>
      </c>
      <c r="L884" t="s">
        <v>6213</v>
      </c>
      <c r="M884" t="s">
        <v>6195</v>
      </c>
      <c r="N884">
        <v>2.5</v>
      </c>
      <c r="O884">
        <v>22.884999999999998</v>
      </c>
      <c r="P884">
        <v>0.91539999999999988</v>
      </c>
      <c r="Q884">
        <v>2.0596499999999995</v>
      </c>
      <c r="R884" s="5">
        <v>114.42499999999998</v>
      </c>
    </row>
    <row r="885" spans="1:18" x14ac:dyDescent="0.25">
      <c r="A885" t="s">
        <v>1711</v>
      </c>
      <c r="B885" s="7">
        <v>43956</v>
      </c>
      <c r="C885" t="str">
        <f>TEXT(Table3[[#This Row],[Order Date]],"yyyy")</f>
        <v>2020</v>
      </c>
      <c r="D885" t="s">
        <v>6233</v>
      </c>
      <c r="E885" t="s">
        <v>1712</v>
      </c>
      <c r="F885" t="s">
        <v>177</v>
      </c>
      <c r="G885">
        <v>3</v>
      </c>
      <c r="H885" t="s">
        <v>5717</v>
      </c>
      <c r="I885" t="s">
        <v>6210</v>
      </c>
      <c r="J885" t="s">
        <v>2811</v>
      </c>
      <c r="K885" t="s">
        <v>1938</v>
      </c>
      <c r="L885" t="s">
        <v>6213</v>
      </c>
      <c r="M885" t="s">
        <v>6193</v>
      </c>
      <c r="N885">
        <v>2.5</v>
      </c>
      <c r="O885">
        <v>25.874999999999996</v>
      </c>
      <c r="P885">
        <v>1.0349999999999999</v>
      </c>
      <c r="Q885">
        <v>2.3287499999999994</v>
      </c>
      <c r="R885" s="5">
        <v>77.624999999999986</v>
      </c>
    </row>
    <row r="886" spans="1:18" x14ac:dyDescent="0.25">
      <c r="A886" t="s">
        <v>1713</v>
      </c>
      <c r="B886" s="7">
        <v>43941</v>
      </c>
      <c r="C886" t="str">
        <f>TEXT(Table3[[#This Row],[Order Date]],"yyyy")</f>
        <v>2020</v>
      </c>
      <c r="D886" t="s">
        <v>6236</v>
      </c>
      <c r="E886" t="s">
        <v>1714</v>
      </c>
      <c r="F886" t="s">
        <v>152</v>
      </c>
      <c r="G886">
        <v>1</v>
      </c>
      <c r="H886" t="s">
        <v>5721</v>
      </c>
      <c r="I886" t="s">
        <v>6210</v>
      </c>
      <c r="J886" t="s">
        <v>2351</v>
      </c>
      <c r="K886" t="s">
        <v>1938</v>
      </c>
      <c r="L886" t="s">
        <v>6211</v>
      </c>
      <c r="M886" t="s">
        <v>6195</v>
      </c>
      <c r="N886">
        <v>0.5</v>
      </c>
      <c r="O886">
        <v>5.3699999999999992</v>
      </c>
      <c r="P886">
        <v>1.0739999999999998</v>
      </c>
      <c r="Q886">
        <v>0.32219999999999993</v>
      </c>
      <c r="R886" s="5">
        <v>5.3699999999999992</v>
      </c>
    </row>
    <row r="887" spans="1:18" x14ac:dyDescent="0.25">
      <c r="A887" t="s">
        <v>1715</v>
      </c>
      <c r="B887" s="7">
        <v>43664</v>
      </c>
      <c r="C887" t="str">
        <f>TEXT(Table3[[#This Row],[Order Date]],"yyyy")</f>
        <v>2019</v>
      </c>
      <c r="D887" t="s">
        <v>6230</v>
      </c>
      <c r="E887" t="s">
        <v>1716</v>
      </c>
      <c r="F887" t="s">
        <v>41</v>
      </c>
      <c r="G887">
        <v>6</v>
      </c>
      <c r="H887" t="s">
        <v>5725</v>
      </c>
      <c r="I887" t="s">
        <v>1945</v>
      </c>
      <c r="J887" t="s">
        <v>5729</v>
      </c>
      <c r="K887" t="s">
        <v>1947</v>
      </c>
      <c r="L887" t="s">
        <v>6211</v>
      </c>
      <c r="M887" t="s">
        <v>6195</v>
      </c>
      <c r="N887">
        <v>2.5</v>
      </c>
      <c r="O887">
        <v>20.584999999999997</v>
      </c>
      <c r="P887">
        <v>0.82339999999999991</v>
      </c>
      <c r="Q887">
        <v>1.2350999999999999</v>
      </c>
      <c r="R887" s="5">
        <v>123.50999999999999</v>
      </c>
    </row>
    <row r="888" spans="1:18" x14ac:dyDescent="0.25">
      <c r="A888" t="s">
        <v>1717</v>
      </c>
      <c r="B888" s="7">
        <v>44518</v>
      </c>
      <c r="C888" t="str">
        <f>TEXT(Table3[[#This Row],[Order Date]],"yyyy")</f>
        <v>2021</v>
      </c>
      <c r="D888" t="s">
        <v>6239</v>
      </c>
      <c r="E888" t="s">
        <v>1718</v>
      </c>
      <c r="F888" t="s">
        <v>84</v>
      </c>
      <c r="G888">
        <v>2</v>
      </c>
      <c r="H888" t="s">
        <v>5730</v>
      </c>
      <c r="I888" t="s">
        <v>6210</v>
      </c>
      <c r="J888" t="s">
        <v>3085</v>
      </c>
      <c r="K888" t="s">
        <v>1947</v>
      </c>
      <c r="L888" t="s">
        <v>6199</v>
      </c>
      <c r="M888" t="s">
        <v>6193</v>
      </c>
      <c r="N888">
        <v>0.5</v>
      </c>
      <c r="O888">
        <v>8.73</v>
      </c>
      <c r="P888">
        <v>1.746</v>
      </c>
      <c r="Q888">
        <v>1.1349</v>
      </c>
      <c r="R888" s="5">
        <v>17.46</v>
      </c>
    </row>
    <row r="889" spans="1:18" x14ac:dyDescent="0.25">
      <c r="A889" t="s">
        <v>1719</v>
      </c>
      <c r="B889" s="7">
        <v>44002</v>
      </c>
      <c r="C889" t="str">
        <f>TEXT(Table3[[#This Row],[Order Date]],"yyyy")</f>
        <v>2020</v>
      </c>
      <c r="D889" t="s">
        <v>6229</v>
      </c>
      <c r="E889" t="s">
        <v>1720</v>
      </c>
      <c r="F889" t="s">
        <v>260</v>
      </c>
      <c r="G889">
        <v>3</v>
      </c>
      <c r="H889" t="s">
        <v>5734</v>
      </c>
      <c r="I889" t="s">
        <v>6210</v>
      </c>
      <c r="J889" t="s">
        <v>5573</v>
      </c>
      <c r="K889" t="s">
        <v>1947</v>
      </c>
      <c r="L889" t="s">
        <v>6212</v>
      </c>
      <c r="M889" t="s">
        <v>6215</v>
      </c>
      <c r="N889">
        <v>0.2</v>
      </c>
      <c r="O889">
        <v>4.4550000000000001</v>
      </c>
      <c r="P889">
        <v>2.2275</v>
      </c>
      <c r="Q889">
        <v>0.49004999999999999</v>
      </c>
      <c r="R889" s="5">
        <v>13.365</v>
      </c>
    </row>
    <row r="890" spans="1:18" x14ac:dyDescent="0.25">
      <c r="A890" t="s">
        <v>1721</v>
      </c>
      <c r="B890" s="7">
        <v>44292</v>
      </c>
      <c r="C890" t="str">
        <f>TEXT(Table3[[#This Row],[Order Date]],"yyyy")</f>
        <v>2021</v>
      </c>
      <c r="D890" t="s">
        <v>6236</v>
      </c>
      <c r="E890" t="s">
        <v>1722</v>
      </c>
      <c r="F890" t="s">
        <v>121</v>
      </c>
      <c r="G890">
        <v>2</v>
      </c>
      <c r="H890" t="s">
        <v>5738</v>
      </c>
      <c r="I890" t="s">
        <v>6210</v>
      </c>
      <c r="J890" t="s">
        <v>3085</v>
      </c>
      <c r="K890" t="s">
        <v>1938</v>
      </c>
      <c r="L890" t="s">
        <v>6213</v>
      </c>
      <c r="M890" t="s">
        <v>6215</v>
      </c>
      <c r="N890">
        <v>0.2</v>
      </c>
      <c r="O890">
        <v>3.8849999999999998</v>
      </c>
      <c r="P890">
        <v>1.9424999999999999</v>
      </c>
      <c r="Q890">
        <v>0.34964999999999996</v>
      </c>
      <c r="R890" s="5">
        <v>7.77</v>
      </c>
    </row>
    <row r="891" spans="1:18" x14ac:dyDescent="0.25">
      <c r="A891" t="s">
        <v>1723</v>
      </c>
      <c r="B891" s="7">
        <v>43633</v>
      </c>
      <c r="C891" t="str">
        <f>TEXT(Table3[[#This Row],[Order Date]],"yyyy")</f>
        <v>2019</v>
      </c>
      <c r="D891" t="s">
        <v>6229</v>
      </c>
      <c r="E891" t="s">
        <v>1724</v>
      </c>
      <c r="F891" t="s">
        <v>107</v>
      </c>
      <c r="G891">
        <v>1</v>
      </c>
      <c r="H891" t="s">
        <v>5742</v>
      </c>
      <c r="I891" t="s">
        <v>6210</v>
      </c>
      <c r="J891" t="s">
        <v>2095</v>
      </c>
      <c r="K891" t="s">
        <v>1938</v>
      </c>
      <c r="L891" t="s">
        <v>6211</v>
      </c>
      <c r="M891" t="s">
        <v>6195</v>
      </c>
      <c r="N891">
        <v>0.2</v>
      </c>
      <c r="O891">
        <v>2.6849999999999996</v>
      </c>
      <c r="P891">
        <v>1.3424999999999998</v>
      </c>
      <c r="Q891">
        <v>0.16109999999999997</v>
      </c>
      <c r="R891" s="5">
        <v>2.6849999999999996</v>
      </c>
    </row>
    <row r="892" spans="1:18" x14ac:dyDescent="0.25">
      <c r="A892" t="s">
        <v>1725</v>
      </c>
      <c r="B892" s="7">
        <v>44646</v>
      </c>
      <c r="C892" t="str">
        <f>TEXT(Table3[[#This Row],[Order Date]],"yyyy")</f>
        <v>2022</v>
      </c>
      <c r="D892" t="s">
        <v>6234</v>
      </c>
      <c r="E892" t="s">
        <v>1710</v>
      </c>
      <c r="F892" t="s">
        <v>41</v>
      </c>
      <c r="G892">
        <v>1</v>
      </c>
      <c r="H892" t="s">
        <v>5746</v>
      </c>
      <c r="I892" t="s">
        <v>6210</v>
      </c>
      <c r="J892" t="s">
        <v>2128</v>
      </c>
      <c r="K892" t="s">
        <v>1938</v>
      </c>
      <c r="L892" t="s">
        <v>6211</v>
      </c>
      <c r="M892" t="s">
        <v>6195</v>
      </c>
      <c r="N892">
        <v>2.5</v>
      </c>
      <c r="O892">
        <v>20.584999999999997</v>
      </c>
      <c r="P892">
        <v>0.82339999999999991</v>
      </c>
      <c r="Q892">
        <v>1.2350999999999999</v>
      </c>
      <c r="R892" s="5">
        <v>20.584999999999997</v>
      </c>
    </row>
    <row r="893" spans="1:18" x14ac:dyDescent="0.25">
      <c r="A893" t="s">
        <v>1726</v>
      </c>
      <c r="B893" s="7">
        <v>44469</v>
      </c>
      <c r="C893" t="str">
        <f>TEXT(Table3[[#This Row],[Order Date]],"yyyy")</f>
        <v>2021</v>
      </c>
      <c r="D893" t="s">
        <v>6228</v>
      </c>
      <c r="E893" t="s">
        <v>1727</v>
      </c>
      <c r="F893" t="s">
        <v>124</v>
      </c>
      <c r="G893">
        <v>5</v>
      </c>
      <c r="H893" t="s">
        <v>5750</v>
      </c>
      <c r="I893" t="s">
        <v>6210</v>
      </c>
      <c r="J893" t="s">
        <v>3780</v>
      </c>
      <c r="K893" t="s">
        <v>1938</v>
      </c>
      <c r="L893" t="s">
        <v>6213</v>
      </c>
      <c r="M893" t="s">
        <v>6195</v>
      </c>
      <c r="N893">
        <v>2.5</v>
      </c>
      <c r="O893">
        <v>22.884999999999998</v>
      </c>
      <c r="P893">
        <v>0.91539999999999988</v>
      </c>
      <c r="Q893">
        <v>2.0596499999999995</v>
      </c>
      <c r="R893" s="5">
        <v>114.42499999999998</v>
      </c>
    </row>
    <row r="894" spans="1:18" x14ac:dyDescent="0.25">
      <c r="A894" t="s">
        <v>1728</v>
      </c>
      <c r="B894" s="7">
        <v>43635</v>
      </c>
      <c r="C894" t="str">
        <f>TEXT(Table3[[#This Row],[Order Date]],"yyyy")</f>
        <v>2019</v>
      </c>
      <c r="D894" t="s">
        <v>6229</v>
      </c>
      <c r="E894" t="s">
        <v>1729</v>
      </c>
      <c r="F894" t="s">
        <v>70</v>
      </c>
      <c r="G894">
        <v>5</v>
      </c>
      <c r="H894" t="s">
        <v>5754</v>
      </c>
      <c r="I894" t="s">
        <v>2112</v>
      </c>
      <c r="J894" t="s">
        <v>3722</v>
      </c>
      <c r="K894" t="s">
        <v>1947</v>
      </c>
      <c r="L894" t="s">
        <v>6212</v>
      </c>
      <c r="M894" t="s">
        <v>6193</v>
      </c>
      <c r="N894">
        <v>0.2</v>
      </c>
      <c r="O894">
        <v>4.125</v>
      </c>
      <c r="P894">
        <v>2.0625</v>
      </c>
      <c r="Q894">
        <v>0.45374999999999999</v>
      </c>
      <c r="R894" s="5">
        <v>20.625</v>
      </c>
    </row>
    <row r="895" spans="1:18" x14ac:dyDescent="0.25">
      <c r="A895" t="s">
        <v>1730</v>
      </c>
      <c r="B895" s="7">
        <v>44651</v>
      </c>
      <c r="C895" t="str">
        <f>TEXT(Table3[[#This Row],[Order Date]],"yyyy")</f>
        <v>2022</v>
      </c>
      <c r="D895" t="s">
        <v>6234</v>
      </c>
      <c r="E895" t="s">
        <v>1731</v>
      </c>
      <c r="F895" t="s">
        <v>89</v>
      </c>
      <c r="G895">
        <v>6</v>
      </c>
      <c r="H895" t="s">
        <v>5758</v>
      </c>
      <c r="I895" t="s">
        <v>6210</v>
      </c>
      <c r="J895" t="s">
        <v>4590</v>
      </c>
      <c r="K895" t="s">
        <v>1938</v>
      </c>
      <c r="L895" t="s">
        <v>6199</v>
      </c>
      <c r="M895" t="s">
        <v>6215</v>
      </c>
      <c r="N895">
        <v>0.5</v>
      </c>
      <c r="O895">
        <v>9.51</v>
      </c>
      <c r="P895">
        <v>1.9019999999999999</v>
      </c>
      <c r="Q895">
        <v>1.2363</v>
      </c>
      <c r="R895" s="5">
        <v>57.06</v>
      </c>
    </row>
    <row r="896" spans="1:18" x14ac:dyDescent="0.25">
      <c r="A896" t="s">
        <v>1732</v>
      </c>
      <c r="B896" s="7">
        <v>44016</v>
      </c>
      <c r="C896" t="str">
        <f>TEXT(Table3[[#This Row],[Order Date]],"yyyy")</f>
        <v>2020</v>
      </c>
      <c r="D896" t="s">
        <v>6230</v>
      </c>
      <c r="E896" t="s">
        <v>1733</v>
      </c>
      <c r="F896" t="s">
        <v>41</v>
      </c>
      <c r="G896">
        <v>4</v>
      </c>
      <c r="H896" t="s">
        <v>5761</v>
      </c>
      <c r="I896" t="s">
        <v>1945</v>
      </c>
      <c r="J896" t="s">
        <v>5764</v>
      </c>
      <c r="K896" t="s">
        <v>1938</v>
      </c>
      <c r="L896" t="s">
        <v>6211</v>
      </c>
      <c r="M896" t="s">
        <v>6195</v>
      </c>
      <c r="N896">
        <v>2.5</v>
      </c>
      <c r="O896">
        <v>20.584999999999997</v>
      </c>
      <c r="P896">
        <v>0.82339999999999991</v>
      </c>
      <c r="Q896">
        <v>1.2350999999999999</v>
      </c>
      <c r="R896" s="5">
        <v>82.339999999999989</v>
      </c>
    </row>
    <row r="897" spans="1:18" x14ac:dyDescent="0.25">
      <c r="A897" t="s">
        <v>1734</v>
      </c>
      <c r="B897" s="7">
        <v>44521</v>
      </c>
      <c r="C897" t="str">
        <f>TEXT(Table3[[#This Row],[Order Date]],"yyyy")</f>
        <v>2021</v>
      </c>
      <c r="D897" t="s">
        <v>6239</v>
      </c>
      <c r="E897" t="s">
        <v>1735</v>
      </c>
      <c r="F897" t="s">
        <v>118</v>
      </c>
      <c r="G897">
        <v>5</v>
      </c>
      <c r="H897" t="s">
        <v>5765</v>
      </c>
      <c r="I897" t="s">
        <v>6210</v>
      </c>
      <c r="J897" t="s">
        <v>2033</v>
      </c>
      <c r="K897" t="s">
        <v>1947</v>
      </c>
      <c r="L897" t="s">
        <v>6212</v>
      </c>
      <c r="M897" t="s">
        <v>6193</v>
      </c>
      <c r="N897">
        <v>2.5</v>
      </c>
      <c r="O897">
        <v>31.624999999999996</v>
      </c>
      <c r="P897">
        <v>1.2649999999999999</v>
      </c>
      <c r="Q897">
        <v>3.4787499999999998</v>
      </c>
      <c r="R897" s="5">
        <v>158.12499999999997</v>
      </c>
    </row>
    <row r="898" spans="1:18" x14ac:dyDescent="0.25">
      <c r="A898" t="s">
        <v>1736</v>
      </c>
      <c r="B898" s="7">
        <v>44347</v>
      </c>
      <c r="C898" t="str">
        <f>TEXT(Table3[[#This Row],[Order Date]],"yyyy")</f>
        <v>2021</v>
      </c>
      <c r="D898" t="s">
        <v>6233</v>
      </c>
      <c r="E898" t="s">
        <v>1737</v>
      </c>
      <c r="F898" t="s">
        <v>152</v>
      </c>
      <c r="G898">
        <v>6</v>
      </c>
      <c r="H898" t="s">
        <v>5768</v>
      </c>
      <c r="I898" t="s">
        <v>6210</v>
      </c>
      <c r="J898" t="s">
        <v>3487</v>
      </c>
      <c r="K898" t="s">
        <v>1938</v>
      </c>
      <c r="L898" t="s">
        <v>6211</v>
      </c>
      <c r="M898" t="s">
        <v>6195</v>
      </c>
      <c r="N898">
        <v>0.5</v>
      </c>
      <c r="O898">
        <v>5.3699999999999992</v>
      </c>
      <c r="P898">
        <v>1.0739999999999998</v>
      </c>
      <c r="Q898">
        <v>0.32219999999999993</v>
      </c>
      <c r="R898" s="5">
        <v>32.22</v>
      </c>
    </row>
    <row r="899" spans="1:18" x14ac:dyDescent="0.25">
      <c r="A899" t="s">
        <v>1738</v>
      </c>
      <c r="B899" s="7">
        <v>43932</v>
      </c>
      <c r="C899" t="str">
        <f>TEXT(Table3[[#This Row],[Order Date]],"yyyy")</f>
        <v>2020</v>
      </c>
      <c r="D899" t="s">
        <v>6236</v>
      </c>
      <c r="E899" t="s">
        <v>1739</v>
      </c>
      <c r="F899" t="s">
        <v>251</v>
      </c>
      <c r="G899">
        <v>2</v>
      </c>
      <c r="H899" t="s">
        <v>5772</v>
      </c>
      <c r="I899" t="s">
        <v>2112</v>
      </c>
      <c r="J899" t="s">
        <v>2168</v>
      </c>
      <c r="K899" t="s">
        <v>1947</v>
      </c>
      <c r="L899" t="s">
        <v>6212</v>
      </c>
      <c r="M899" t="s">
        <v>6195</v>
      </c>
      <c r="N899">
        <v>1</v>
      </c>
      <c r="O899">
        <v>12.15</v>
      </c>
      <c r="P899">
        <v>1.2150000000000001</v>
      </c>
      <c r="Q899">
        <v>1.3365</v>
      </c>
      <c r="R899" s="5">
        <v>24.3</v>
      </c>
    </row>
    <row r="900" spans="1:18" x14ac:dyDescent="0.25">
      <c r="A900" t="s">
        <v>1740</v>
      </c>
      <c r="B900" s="7">
        <v>44089</v>
      </c>
      <c r="C900" t="str">
        <f>TEXT(Table3[[#This Row],[Order Date]],"yyyy")</f>
        <v>2020</v>
      </c>
      <c r="D900" t="s">
        <v>6228</v>
      </c>
      <c r="E900" t="s">
        <v>1741</v>
      </c>
      <c r="F900" t="s">
        <v>163</v>
      </c>
      <c r="G900">
        <v>5</v>
      </c>
      <c r="H900" t="s">
        <v>5776</v>
      </c>
      <c r="I900" t="s">
        <v>6210</v>
      </c>
      <c r="J900" t="s">
        <v>5779</v>
      </c>
      <c r="K900" t="s">
        <v>1947</v>
      </c>
      <c r="L900" t="s">
        <v>6211</v>
      </c>
      <c r="M900" t="s">
        <v>6215</v>
      </c>
      <c r="N900">
        <v>0.5</v>
      </c>
      <c r="O900">
        <v>7.169999999999999</v>
      </c>
      <c r="P900">
        <v>1.4339999999999997</v>
      </c>
      <c r="Q900">
        <v>0.43019999999999992</v>
      </c>
      <c r="R900" s="5">
        <v>35.849999999999994</v>
      </c>
    </row>
    <row r="901" spans="1:18" x14ac:dyDescent="0.25">
      <c r="A901" t="s">
        <v>1742</v>
      </c>
      <c r="B901" s="7">
        <v>44523</v>
      </c>
      <c r="C901" t="str">
        <f>TEXT(Table3[[#This Row],[Order Date]],"yyyy")</f>
        <v>2021</v>
      </c>
      <c r="D901" t="s">
        <v>6239</v>
      </c>
      <c r="E901" t="s">
        <v>1735</v>
      </c>
      <c r="F901" t="s">
        <v>102</v>
      </c>
      <c r="G901">
        <v>5</v>
      </c>
      <c r="H901" t="s">
        <v>5765</v>
      </c>
      <c r="I901" t="s">
        <v>6210</v>
      </c>
      <c r="J901" t="s">
        <v>2033</v>
      </c>
      <c r="K901" t="s">
        <v>1947</v>
      </c>
      <c r="L901" t="s">
        <v>6199</v>
      </c>
      <c r="M901" t="s">
        <v>6193</v>
      </c>
      <c r="N901">
        <v>1</v>
      </c>
      <c r="O901">
        <v>14.55</v>
      </c>
      <c r="P901">
        <v>1.4550000000000001</v>
      </c>
      <c r="Q901">
        <v>1.8915000000000002</v>
      </c>
      <c r="R901" s="5">
        <v>72.75</v>
      </c>
    </row>
    <row r="902" spans="1:18" x14ac:dyDescent="0.25">
      <c r="A902" t="s">
        <v>1743</v>
      </c>
      <c r="B902" s="7">
        <v>44584</v>
      </c>
      <c r="C902" t="str">
        <f>TEXT(Table3[[#This Row],[Order Date]],"yyyy")</f>
        <v>2022</v>
      </c>
      <c r="D902" t="s">
        <v>6232</v>
      </c>
      <c r="E902" t="s">
        <v>1744</v>
      </c>
      <c r="F902" t="s">
        <v>138</v>
      </c>
      <c r="G902">
        <v>3</v>
      </c>
      <c r="H902" t="s">
        <v>5784</v>
      </c>
      <c r="I902" t="s">
        <v>1945</v>
      </c>
      <c r="J902" t="s">
        <v>5787</v>
      </c>
      <c r="K902" t="s">
        <v>1947</v>
      </c>
      <c r="L902" t="s">
        <v>6199</v>
      </c>
      <c r="M902" t="s">
        <v>6215</v>
      </c>
      <c r="N902">
        <v>1</v>
      </c>
      <c r="O902">
        <v>15.85</v>
      </c>
      <c r="P902">
        <v>1.585</v>
      </c>
      <c r="Q902">
        <v>2.0605000000000002</v>
      </c>
      <c r="R902" s="5">
        <v>47.55</v>
      </c>
    </row>
    <row r="903" spans="1:18" x14ac:dyDescent="0.25">
      <c r="A903" t="s">
        <v>1745</v>
      </c>
      <c r="B903" s="7">
        <v>44223</v>
      </c>
      <c r="C903" t="str">
        <f>TEXT(Table3[[#This Row],[Order Date]],"yyyy")</f>
        <v>2021</v>
      </c>
      <c r="D903" t="s">
        <v>6232</v>
      </c>
      <c r="E903" t="s">
        <v>1746</v>
      </c>
      <c r="F903" t="s">
        <v>188</v>
      </c>
      <c r="G903">
        <v>1</v>
      </c>
      <c r="H903" t="s">
        <v>5788</v>
      </c>
      <c r="I903" t="s">
        <v>6210</v>
      </c>
      <c r="J903" t="s">
        <v>2023</v>
      </c>
      <c r="K903" t="s">
        <v>1938</v>
      </c>
      <c r="L903" t="s">
        <v>6211</v>
      </c>
      <c r="M903" t="s">
        <v>6215</v>
      </c>
      <c r="N903">
        <v>0.2</v>
      </c>
      <c r="O903">
        <v>3.5849999999999995</v>
      </c>
      <c r="P903">
        <v>1.7924999999999998</v>
      </c>
      <c r="Q903">
        <v>0.21509999999999996</v>
      </c>
      <c r="R903" s="5">
        <v>3.5849999999999995</v>
      </c>
    </row>
    <row r="904" spans="1:18" x14ac:dyDescent="0.25">
      <c r="A904" t="s">
        <v>1747</v>
      </c>
      <c r="B904" s="7">
        <v>43640</v>
      </c>
      <c r="C904" t="str">
        <f>TEXT(Table3[[#This Row],[Order Date]],"yyyy")</f>
        <v>2019</v>
      </c>
      <c r="D904" t="s">
        <v>6229</v>
      </c>
      <c r="E904" t="s">
        <v>1748</v>
      </c>
      <c r="F904" t="s">
        <v>118</v>
      </c>
      <c r="G904">
        <v>5</v>
      </c>
      <c r="H904" t="s">
        <v>5792</v>
      </c>
      <c r="I904" t="s">
        <v>6210</v>
      </c>
      <c r="J904" t="s">
        <v>3032</v>
      </c>
      <c r="K904" t="s">
        <v>1947</v>
      </c>
      <c r="L904" t="s">
        <v>6212</v>
      </c>
      <c r="M904" t="s">
        <v>6193</v>
      </c>
      <c r="N904">
        <v>2.5</v>
      </c>
      <c r="O904">
        <v>31.624999999999996</v>
      </c>
      <c r="P904">
        <v>1.2649999999999999</v>
      </c>
      <c r="Q904">
        <v>3.4787499999999998</v>
      </c>
      <c r="R904" s="5">
        <v>158.12499999999997</v>
      </c>
    </row>
    <row r="905" spans="1:18" x14ac:dyDescent="0.25">
      <c r="A905" t="s">
        <v>1749</v>
      </c>
      <c r="B905" s="7">
        <v>43905</v>
      </c>
      <c r="C905" t="str">
        <f>TEXT(Table3[[#This Row],[Order Date]],"yyyy")</f>
        <v>2020</v>
      </c>
      <c r="D905" t="s">
        <v>6234</v>
      </c>
      <c r="E905" t="s">
        <v>1750</v>
      </c>
      <c r="F905" t="s">
        <v>84</v>
      </c>
      <c r="G905">
        <v>2</v>
      </c>
      <c r="H905" t="s">
        <v>5796</v>
      </c>
      <c r="I905" t="s">
        <v>6210</v>
      </c>
      <c r="J905" t="s">
        <v>2351</v>
      </c>
      <c r="K905" t="s">
        <v>1947</v>
      </c>
      <c r="L905" t="s">
        <v>6199</v>
      </c>
      <c r="M905" t="s">
        <v>6193</v>
      </c>
      <c r="N905">
        <v>0.5</v>
      </c>
      <c r="O905">
        <v>8.73</v>
      </c>
      <c r="P905">
        <v>1.746</v>
      </c>
      <c r="Q905">
        <v>1.1349</v>
      </c>
      <c r="R905" s="5">
        <v>17.46</v>
      </c>
    </row>
    <row r="906" spans="1:18" x14ac:dyDescent="0.25">
      <c r="A906" t="s">
        <v>1751</v>
      </c>
      <c r="B906" s="7">
        <v>44463</v>
      </c>
      <c r="C906" t="str">
        <f>TEXT(Table3[[#This Row],[Order Date]],"yyyy")</f>
        <v>2021</v>
      </c>
      <c r="D906" t="s">
        <v>6228</v>
      </c>
      <c r="E906" t="s">
        <v>1752</v>
      </c>
      <c r="F906" t="s">
        <v>210</v>
      </c>
      <c r="G906">
        <v>5</v>
      </c>
      <c r="H906" t="s">
        <v>5800</v>
      </c>
      <c r="I906" t="s">
        <v>6210</v>
      </c>
      <c r="J906" t="s">
        <v>2229</v>
      </c>
      <c r="K906" t="s">
        <v>1947</v>
      </c>
      <c r="L906" t="s">
        <v>6213</v>
      </c>
      <c r="M906" t="s">
        <v>6215</v>
      </c>
      <c r="N906">
        <v>2.5</v>
      </c>
      <c r="O906">
        <v>29.784999999999997</v>
      </c>
      <c r="P906">
        <v>1.1913999999999998</v>
      </c>
      <c r="Q906">
        <v>2.6806499999999995</v>
      </c>
      <c r="R906" s="5">
        <v>148.92499999999998</v>
      </c>
    </row>
    <row r="907" spans="1:18" x14ac:dyDescent="0.25">
      <c r="A907" t="s">
        <v>1753</v>
      </c>
      <c r="B907" s="7">
        <v>43560</v>
      </c>
      <c r="C907" t="str">
        <f>TEXT(Table3[[#This Row],[Order Date]],"yyyy")</f>
        <v>2019</v>
      </c>
      <c r="D907" t="s">
        <v>6236</v>
      </c>
      <c r="E907" t="s">
        <v>1754</v>
      </c>
      <c r="F907" t="s">
        <v>73</v>
      </c>
      <c r="G907">
        <v>6</v>
      </c>
      <c r="H907" t="s">
        <v>5804</v>
      </c>
      <c r="I907" t="s">
        <v>6210</v>
      </c>
      <c r="J907" t="s">
        <v>2444</v>
      </c>
      <c r="K907" t="s">
        <v>1938</v>
      </c>
      <c r="L907" t="s">
        <v>6213</v>
      </c>
      <c r="M907" t="s">
        <v>6193</v>
      </c>
      <c r="N907">
        <v>0.5</v>
      </c>
      <c r="O907">
        <v>6.75</v>
      </c>
      <c r="P907">
        <v>1.35</v>
      </c>
      <c r="Q907">
        <v>0.60749999999999993</v>
      </c>
      <c r="R907" s="5">
        <v>40.5</v>
      </c>
    </row>
    <row r="908" spans="1:18" x14ac:dyDescent="0.25">
      <c r="A908" t="s">
        <v>1755</v>
      </c>
      <c r="B908" s="7">
        <v>44588</v>
      </c>
      <c r="C908" t="str">
        <f>TEXT(Table3[[#This Row],[Order Date]],"yyyy")</f>
        <v>2022</v>
      </c>
      <c r="D908" t="s">
        <v>6232</v>
      </c>
      <c r="E908" t="s">
        <v>1756</v>
      </c>
      <c r="F908" t="s">
        <v>73</v>
      </c>
      <c r="G908">
        <v>4</v>
      </c>
      <c r="H908" t="s">
        <v>5807</v>
      </c>
      <c r="I908" t="s">
        <v>6210</v>
      </c>
      <c r="J908" t="s">
        <v>2643</v>
      </c>
      <c r="K908" t="s">
        <v>1938</v>
      </c>
      <c r="L908" t="s">
        <v>6213</v>
      </c>
      <c r="M908" t="s">
        <v>6193</v>
      </c>
      <c r="N908">
        <v>0.5</v>
      </c>
      <c r="O908">
        <v>6.75</v>
      </c>
      <c r="P908">
        <v>1.35</v>
      </c>
      <c r="Q908">
        <v>0.60749999999999993</v>
      </c>
      <c r="R908" s="5">
        <v>27</v>
      </c>
    </row>
    <row r="909" spans="1:18" x14ac:dyDescent="0.25">
      <c r="A909" t="s">
        <v>1757</v>
      </c>
      <c r="B909" s="7">
        <v>44449</v>
      </c>
      <c r="C909" t="str">
        <f>TEXT(Table3[[#This Row],[Order Date]],"yyyy")</f>
        <v>2021</v>
      </c>
      <c r="D909" t="s">
        <v>6228</v>
      </c>
      <c r="E909" t="s">
        <v>1758</v>
      </c>
      <c r="F909" t="s">
        <v>19</v>
      </c>
      <c r="G909">
        <v>3</v>
      </c>
      <c r="H909" t="s">
        <v>5811</v>
      </c>
      <c r="I909" t="s">
        <v>6210</v>
      </c>
      <c r="J909" t="s">
        <v>2018</v>
      </c>
      <c r="K909" t="s">
        <v>1947</v>
      </c>
      <c r="L909" t="s">
        <v>6199</v>
      </c>
      <c r="M909" t="s">
        <v>6195</v>
      </c>
      <c r="N909">
        <v>1</v>
      </c>
      <c r="O909">
        <v>12.95</v>
      </c>
      <c r="P909">
        <v>1.2949999999999999</v>
      </c>
      <c r="Q909">
        <v>1.6835</v>
      </c>
      <c r="R909" s="5">
        <v>38.849999999999994</v>
      </c>
    </row>
    <row r="910" spans="1:18" x14ac:dyDescent="0.25">
      <c r="A910" t="s">
        <v>1759</v>
      </c>
      <c r="B910" s="7">
        <v>43836</v>
      </c>
      <c r="C910" t="str">
        <f>TEXT(Table3[[#This Row],[Order Date]],"yyyy")</f>
        <v>2020</v>
      </c>
      <c r="D910" t="s">
        <v>6232</v>
      </c>
      <c r="E910" t="s">
        <v>1760</v>
      </c>
      <c r="F910" t="s">
        <v>195</v>
      </c>
      <c r="G910">
        <v>5</v>
      </c>
      <c r="H910" t="s">
        <v>5815</v>
      </c>
      <c r="I910" t="s">
        <v>6210</v>
      </c>
      <c r="J910" t="s">
        <v>2023</v>
      </c>
      <c r="K910" t="s">
        <v>1947</v>
      </c>
      <c r="L910" t="s">
        <v>6211</v>
      </c>
      <c r="M910" t="s">
        <v>6215</v>
      </c>
      <c r="N910">
        <v>1</v>
      </c>
      <c r="O910">
        <v>11.95</v>
      </c>
      <c r="P910">
        <v>1.1949999999999998</v>
      </c>
      <c r="Q910">
        <v>0.71699999999999997</v>
      </c>
      <c r="R910" s="5">
        <v>59.75</v>
      </c>
    </row>
    <row r="911" spans="1:18" x14ac:dyDescent="0.25">
      <c r="A911" t="s">
        <v>1761</v>
      </c>
      <c r="B911" s="7">
        <v>44635</v>
      </c>
      <c r="C911" t="str">
        <f>TEXT(Table3[[#This Row],[Order Date]],"yyyy")</f>
        <v>2022</v>
      </c>
      <c r="D911" t="s">
        <v>6234</v>
      </c>
      <c r="E911" t="s">
        <v>1762</v>
      </c>
      <c r="F911" t="s">
        <v>188</v>
      </c>
      <c r="G911">
        <v>3</v>
      </c>
      <c r="H911" t="s">
        <v>5819</v>
      </c>
      <c r="I911" t="s">
        <v>6210</v>
      </c>
      <c r="J911" t="s">
        <v>4476</v>
      </c>
      <c r="K911" t="s">
        <v>1947</v>
      </c>
      <c r="L911" t="s">
        <v>6211</v>
      </c>
      <c r="M911" t="s">
        <v>6215</v>
      </c>
      <c r="N911">
        <v>0.2</v>
      </c>
      <c r="O911">
        <v>3.5849999999999995</v>
      </c>
      <c r="P911">
        <v>1.7924999999999998</v>
      </c>
      <c r="Q911">
        <v>0.21509999999999996</v>
      </c>
      <c r="R911" s="5">
        <v>10.754999999999999</v>
      </c>
    </row>
    <row r="912" spans="1:18" x14ac:dyDescent="0.25">
      <c r="A912" t="s">
        <v>1763</v>
      </c>
      <c r="B912" s="7">
        <v>44447</v>
      </c>
      <c r="C912" t="str">
        <f>TEXT(Table3[[#This Row],[Order Date]],"yyyy")</f>
        <v>2021</v>
      </c>
      <c r="D912" t="s">
        <v>6228</v>
      </c>
      <c r="E912" t="s">
        <v>1764</v>
      </c>
      <c r="F912" t="s">
        <v>124</v>
      </c>
      <c r="G912">
        <v>4</v>
      </c>
      <c r="H912" t="s">
        <v>5822</v>
      </c>
      <c r="I912" t="s">
        <v>6210</v>
      </c>
      <c r="J912" t="s">
        <v>2154</v>
      </c>
      <c r="K912" t="s">
        <v>1947</v>
      </c>
      <c r="L912" t="s">
        <v>6213</v>
      </c>
      <c r="M912" t="s">
        <v>6195</v>
      </c>
      <c r="N912">
        <v>2.5</v>
      </c>
      <c r="O912">
        <v>22.884999999999998</v>
      </c>
      <c r="P912">
        <v>0.91539999999999988</v>
      </c>
      <c r="Q912">
        <v>2.0596499999999995</v>
      </c>
      <c r="R912" s="5">
        <v>91.539999999999992</v>
      </c>
    </row>
    <row r="913" spans="1:18" x14ac:dyDescent="0.25">
      <c r="A913" t="s">
        <v>1765</v>
      </c>
      <c r="B913" s="7">
        <v>44511</v>
      </c>
      <c r="C913" t="str">
        <f>TEXT(Table3[[#This Row],[Order Date]],"yyyy")</f>
        <v>2021</v>
      </c>
      <c r="D913" t="s">
        <v>6239</v>
      </c>
      <c r="E913" t="s">
        <v>1766</v>
      </c>
      <c r="F913" t="s">
        <v>67</v>
      </c>
      <c r="G913">
        <v>4</v>
      </c>
      <c r="H913" t="s">
        <v>5826</v>
      </c>
      <c r="I913" t="s">
        <v>6210</v>
      </c>
      <c r="J913" t="s">
        <v>2182</v>
      </c>
      <c r="K913" t="s">
        <v>1938</v>
      </c>
      <c r="L913" t="s">
        <v>6213</v>
      </c>
      <c r="M913" t="s">
        <v>6193</v>
      </c>
      <c r="N913">
        <v>1</v>
      </c>
      <c r="O913">
        <v>11.25</v>
      </c>
      <c r="P913">
        <v>1.125</v>
      </c>
      <c r="Q913">
        <v>1.0125</v>
      </c>
      <c r="R913" s="5">
        <v>45</v>
      </c>
    </row>
    <row r="914" spans="1:18" x14ac:dyDescent="0.25">
      <c r="A914" t="s">
        <v>1767</v>
      </c>
      <c r="B914" s="7">
        <v>43726</v>
      </c>
      <c r="C914" t="str">
        <f>TEXT(Table3[[#This Row],[Order Date]],"yyyy")</f>
        <v>2019</v>
      </c>
      <c r="D914" t="s">
        <v>6228</v>
      </c>
      <c r="E914" t="s">
        <v>1768</v>
      </c>
      <c r="F914" t="s">
        <v>47</v>
      </c>
      <c r="G914">
        <v>6</v>
      </c>
      <c r="H914" t="s">
        <v>5830</v>
      </c>
      <c r="I914" t="s">
        <v>6210</v>
      </c>
      <c r="J914" t="s">
        <v>2876</v>
      </c>
      <c r="K914" t="s">
        <v>1938</v>
      </c>
      <c r="L914" t="s">
        <v>6211</v>
      </c>
      <c r="M914" t="s">
        <v>6193</v>
      </c>
      <c r="N914">
        <v>2.5</v>
      </c>
      <c r="O914">
        <v>22.884999999999998</v>
      </c>
      <c r="P914">
        <v>0.91539999999999988</v>
      </c>
      <c r="Q914">
        <v>1.3730999999999998</v>
      </c>
      <c r="R914" s="5">
        <v>137.31</v>
      </c>
    </row>
    <row r="915" spans="1:18" x14ac:dyDescent="0.25">
      <c r="A915" t="s">
        <v>1769</v>
      </c>
      <c r="B915" s="7">
        <v>44406</v>
      </c>
      <c r="C915" t="str">
        <f>TEXT(Table3[[#This Row],[Order Date]],"yyyy")</f>
        <v>2021</v>
      </c>
      <c r="D915" t="s">
        <v>6230</v>
      </c>
      <c r="E915" t="s">
        <v>1770</v>
      </c>
      <c r="F915" t="s">
        <v>73</v>
      </c>
      <c r="G915">
        <v>1</v>
      </c>
      <c r="H915" t="s">
        <v>5833</v>
      </c>
      <c r="I915" t="s">
        <v>6210</v>
      </c>
      <c r="J915" t="s">
        <v>2136</v>
      </c>
      <c r="K915" t="s">
        <v>1947</v>
      </c>
      <c r="L915" t="s">
        <v>6213</v>
      </c>
      <c r="M915" t="s">
        <v>6193</v>
      </c>
      <c r="N915">
        <v>0.5</v>
      </c>
      <c r="O915">
        <v>6.75</v>
      </c>
      <c r="P915">
        <v>1.35</v>
      </c>
      <c r="Q915">
        <v>0.60749999999999993</v>
      </c>
      <c r="R915" s="5">
        <v>6.75</v>
      </c>
    </row>
    <row r="916" spans="1:18" x14ac:dyDescent="0.25">
      <c r="A916" t="s">
        <v>1771</v>
      </c>
      <c r="B916" s="7">
        <v>44640</v>
      </c>
      <c r="C916" t="str">
        <f>TEXT(Table3[[#This Row],[Order Date]],"yyyy")</f>
        <v>2022</v>
      </c>
      <c r="D916" t="s">
        <v>6234</v>
      </c>
      <c r="E916" t="s">
        <v>1772</v>
      </c>
      <c r="F916" t="s">
        <v>67</v>
      </c>
      <c r="G916">
        <v>4</v>
      </c>
      <c r="H916" t="s">
        <v>5837</v>
      </c>
      <c r="I916" t="s">
        <v>6210</v>
      </c>
      <c r="J916" t="s">
        <v>2739</v>
      </c>
      <c r="K916" t="s">
        <v>1947</v>
      </c>
      <c r="L916" t="s">
        <v>6213</v>
      </c>
      <c r="M916" t="s">
        <v>6193</v>
      </c>
      <c r="N916">
        <v>1</v>
      </c>
      <c r="O916">
        <v>11.25</v>
      </c>
      <c r="P916">
        <v>1.125</v>
      </c>
      <c r="Q916">
        <v>1.0125</v>
      </c>
      <c r="R916" s="5">
        <v>45</v>
      </c>
    </row>
    <row r="917" spans="1:18" x14ac:dyDescent="0.25">
      <c r="A917" t="s">
        <v>1773</v>
      </c>
      <c r="B917" s="7">
        <v>43955</v>
      </c>
      <c r="C917" t="str">
        <f>TEXT(Table3[[#This Row],[Order Date]],"yyyy")</f>
        <v>2020</v>
      </c>
      <c r="D917" t="s">
        <v>6233</v>
      </c>
      <c r="E917" t="s">
        <v>1774</v>
      </c>
      <c r="F917" t="s">
        <v>536</v>
      </c>
      <c r="G917">
        <v>3</v>
      </c>
      <c r="H917" t="s">
        <v>5841</v>
      </c>
      <c r="I917" t="s">
        <v>6210</v>
      </c>
      <c r="J917" t="s">
        <v>5845</v>
      </c>
      <c r="K917" t="s">
        <v>1938</v>
      </c>
      <c r="L917" t="s">
        <v>6212</v>
      </c>
      <c r="M917" t="s">
        <v>6195</v>
      </c>
      <c r="N917">
        <v>2.5</v>
      </c>
      <c r="O917">
        <v>27.945</v>
      </c>
      <c r="P917">
        <v>1.1177999999999999</v>
      </c>
      <c r="Q917">
        <v>3.07395</v>
      </c>
      <c r="R917" s="5">
        <v>83.835000000000008</v>
      </c>
    </row>
    <row r="918" spans="1:18" x14ac:dyDescent="0.25">
      <c r="A918" t="s">
        <v>1775</v>
      </c>
      <c r="B918" s="7">
        <v>44291</v>
      </c>
      <c r="C918" t="str">
        <f>TEXT(Table3[[#This Row],[Order Date]],"yyyy")</f>
        <v>2021</v>
      </c>
      <c r="D918" t="s">
        <v>6236</v>
      </c>
      <c r="E918" t="s">
        <v>1776</v>
      </c>
      <c r="F918" t="s">
        <v>57</v>
      </c>
      <c r="G918">
        <v>1</v>
      </c>
      <c r="H918" t="s">
        <v>5846</v>
      </c>
      <c r="I918" t="s">
        <v>1945</v>
      </c>
      <c r="J918" t="s">
        <v>3913</v>
      </c>
      <c r="K918" t="s">
        <v>1938</v>
      </c>
      <c r="L918" t="s">
        <v>6212</v>
      </c>
      <c r="M918" t="s">
        <v>6195</v>
      </c>
      <c r="N918">
        <v>0.2</v>
      </c>
      <c r="O918">
        <v>3.645</v>
      </c>
      <c r="P918">
        <v>1.8225</v>
      </c>
      <c r="Q918">
        <v>0.40095000000000003</v>
      </c>
      <c r="R918" s="5">
        <v>3.645</v>
      </c>
    </row>
    <row r="919" spans="1:18" x14ac:dyDescent="0.25">
      <c r="A919" t="s">
        <v>1777</v>
      </c>
      <c r="B919" s="7">
        <v>44573</v>
      </c>
      <c r="C919" t="str">
        <f>TEXT(Table3[[#This Row],[Order Date]],"yyyy")</f>
        <v>2022</v>
      </c>
      <c r="D919" t="s">
        <v>6232</v>
      </c>
      <c r="E919" t="s">
        <v>1778</v>
      </c>
      <c r="F919" t="s">
        <v>73</v>
      </c>
      <c r="G919">
        <v>1</v>
      </c>
      <c r="H919" t="s">
        <v>5848</v>
      </c>
      <c r="I919" t="s">
        <v>2112</v>
      </c>
      <c r="J919" t="s">
        <v>3233</v>
      </c>
      <c r="K919" t="s">
        <v>1947</v>
      </c>
      <c r="L919" t="s">
        <v>6213</v>
      </c>
      <c r="M919" t="s">
        <v>6193</v>
      </c>
      <c r="N919">
        <v>0.5</v>
      </c>
      <c r="O919">
        <v>6.75</v>
      </c>
      <c r="P919">
        <v>1.35</v>
      </c>
      <c r="Q919">
        <v>0.60749999999999993</v>
      </c>
      <c r="R919" s="5">
        <v>6.75</v>
      </c>
    </row>
    <row r="920" spans="1:18" x14ac:dyDescent="0.25">
      <c r="A920" t="s">
        <v>1777</v>
      </c>
      <c r="B920" s="7">
        <v>44573</v>
      </c>
      <c r="C920" t="str">
        <f>TEXT(Table3[[#This Row],[Order Date]],"yyyy")</f>
        <v>2022</v>
      </c>
      <c r="D920" t="s">
        <v>6232</v>
      </c>
      <c r="E920" t="s">
        <v>1778</v>
      </c>
      <c r="F920" t="s">
        <v>22</v>
      </c>
      <c r="G920">
        <v>3</v>
      </c>
      <c r="H920" t="s">
        <v>5848</v>
      </c>
      <c r="I920" t="s">
        <v>2112</v>
      </c>
      <c r="J920" t="s">
        <v>3233</v>
      </c>
      <c r="K920" t="s">
        <v>1947</v>
      </c>
      <c r="L920" t="s">
        <v>6212</v>
      </c>
      <c r="M920" t="s">
        <v>6195</v>
      </c>
      <c r="N920">
        <v>0.5</v>
      </c>
      <c r="O920">
        <v>7.29</v>
      </c>
      <c r="P920">
        <v>1.458</v>
      </c>
      <c r="Q920">
        <v>0.80190000000000006</v>
      </c>
      <c r="R920" s="5">
        <v>21.87</v>
      </c>
    </row>
    <row r="921" spans="1:18" x14ac:dyDescent="0.25">
      <c r="A921" t="s">
        <v>1779</v>
      </c>
      <c r="B921" s="7">
        <v>44181</v>
      </c>
      <c r="C921" t="str">
        <f>TEXT(Table3[[#This Row],[Order Date]],"yyyy")</f>
        <v>2020</v>
      </c>
      <c r="D921" t="s">
        <v>6237</v>
      </c>
      <c r="E921" t="s">
        <v>1780</v>
      </c>
      <c r="F921" t="s">
        <v>107</v>
      </c>
      <c r="G921">
        <v>5</v>
      </c>
      <c r="H921" t="s">
        <v>5858</v>
      </c>
      <c r="I921" t="s">
        <v>6210</v>
      </c>
      <c r="J921" t="s">
        <v>3315</v>
      </c>
      <c r="K921" t="s">
        <v>1938</v>
      </c>
      <c r="L921" t="s">
        <v>6211</v>
      </c>
      <c r="M921" t="s">
        <v>6195</v>
      </c>
      <c r="N921">
        <v>0.2</v>
      </c>
      <c r="O921">
        <v>2.6849999999999996</v>
      </c>
      <c r="P921">
        <v>1.3424999999999998</v>
      </c>
      <c r="Q921">
        <v>0.16109999999999997</v>
      </c>
      <c r="R921" s="5">
        <v>13.424999999999997</v>
      </c>
    </row>
    <row r="922" spans="1:18" x14ac:dyDescent="0.25">
      <c r="A922" t="s">
        <v>1781</v>
      </c>
      <c r="B922" s="7">
        <v>44711</v>
      </c>
      <c r="C922" t="str">
        <f>TEXT(Table3[[#This Row],[Order Date]],"yyyy")</f>
        <v>2022</v>
      </c>
      <c r="D922" t="s">
        <v>6233</v>
      </c>
      <c r="E922" t="s">
        <v>1782</v>
      </c>
      <c r="F922" t="s">
        <v>41</v>
      </c>
      <c r="G922">
        <v>6</v>
      </c>
      <c r="H922" t="s">
        <v>5862</v>
      </c>
      <c r="I922" t="s">
        <v>6210</v>
      </c>
      <c r="J922" t="s">
        <v>2044</v>
      </c>
      <c r="K922" t="s">
        <v>1947</v>
      </c>
      <c r="L922" t="s">
        <v>6211</v>
      </c>
      <c r="M922" t="s">
        <v>6195</v>
      </c>
      <c r="N922">
        <v>2.5</v>
      </c>
      <c r="O922">
        <v>20.584999999999997</v>
      </c>
      <c r="P922">
        <v>0.82339999999999991</v>
      </c>
      <c r="Q922">
        <v>1.2350999999999999</v>
      </c>
      <c r="R922" s="5">
        <v>123.50999999999999</v>
      </c>
    </row>
    <row r="923" spans="1:18" x14ac:dyDescent="0.25">
      <c r="A923" t="s">
        <v>1783</v>
      </c>
      <c r="B923" s="7">
        <v>44509</v>
      </c>
      <c r="C923" t="str">
        <f>TEXT(Table3[[#This Row],[Order Date]],"yyyy")</f>
        <v>2021</v>
      </c>
      <c r="D923" t="s">
        <v>6239</v>
      </c>
      <c r="E923" t="s">
        <v>1784</v>
      </c>
      <c r="F923" t="s">
        <v>44</v>
      </c>
      <c r="G923">
        <v>2</v>
      </c>
      <c r="H923" t="s">
        <v>5866</v>
      </c>
      <c r="I923" t="s">
        <v>6210</v>
      </c>
      <c r="J923" t="s">
        <v>2643</v>
      </c>
      <c r="K923" t="s">
        <v>1947</v>
      </c>
      <c r="L923" t="s">
        <v>6199</v>
      </c>
      <c r="M923" t="s">
        <v>6195</v>
      </c>
      <c r="N923">
        <v>0.2</v>
      </c>
      <c r="O923">
        <v>3.8849999999999998</v>
      </c>
      <c r="P923">
        <v>1.9424999999999999</v>
      </c>
      <c r="Q923">
        <v>0.50505</v>
      </c>
      <c r="R923" s="5">
        <v>7.77</v>
      </c>
    </row>
    <row r="924" spans="1:18" x14ac:dyDescent="0.25">
      <c r="A924" t="s">
        <v>1785</v>
      </c>
      <c r="B924" s="7">
        <v>44659</v>
      </c>
      <c r="C924" t="str">
        <f>TEXT(Table3[[#This Row],[Order Date]],"yyyy")</f>
        <v>2022</v>
      </c>
      <c r="D924" t="s">
        <v>6236</v>
      </c>
      <c r="E924" t="s">
        <v>1786</v>
      </c>
      <c r="F924" t="s">
        <v>67</v>
      </c>
      <c r="G924">
        <v>6</v>
      </c>
      <c r="H924" t="s">
        <v>5870</v>
      </c>
      <c r="I924" t="s">
        <v>6210</v>
      </c>
      <c r="J924" t="s">
        <v>5102</v>
      </c>
      <c r="K924" t="s">
        <v>1938</v>
      </c>
      <c r="L924" t="s">
        <v>6213</v>
      </c>
      <c r="M924" t="s">
        <v>6193</v>
      </c>
      <c r="N924">
        <v>1</v>
      </c>
      <c r="O924">
        <v>11.25</v>
      </c>
      <c r="P924">
        <v>1.125</v>
      </c>
      <c r="Q924">
        <v>1.0125</v>
      </c>
      <c r="R924" s="5">
        <v>67.5</v>
      </c>
    </row>
    <row r="925" spans="1:18" x14ac:dyDescent="0.25">
      <c r="A925" t="s">
        <v>1787</v>
      </c>
      <c r="B925" s="7">
        <v>43746</v>
      </c>
      <c r="C925" t="str">
        <f>TEXT(Table3[[#This Row],[Order Date]],"yyyy")</f>
        <v>2019</v>
      </c>
      <c r="D925" t="s">
        <v>6235</v>
      </c>
      <c r="E925" t="s">
        <v>1788</v>
      </c>
      <c r="F925" t="s">
        <v>536</v>
      </c>
      <c r="G925">
        <v>1</v>
      </c>
      <c r="H925" t="s">
        <v>5872</v>
      </c>
      <c r="I925" t="s">
        <v>6210</v>
      </c>
      <c r="J925" t="s">
        <v>2383</v>
      </c>
      <c r="K925" t="s">
        <v>1947</v>
      </c>
      <c r="L925" t="s">
        <v>6212</v>
      </c>
      <c r="M925" t="s">
        <v>6195</v>
      </c>
      <c r="N925">
        <v>2.5</v>
      </c>
      <c r="O925">
        <v>27.945</v>
      </c>
      <c r="P925">
        <v>1.1177999999999999</v>
      </c>
      <c r="Q925">
        <v>3.07395</v>
      </c>
      <c r="R925" s="5">
        <v>27.945</v>
      </c>
    </row>
    <row r="926" spans="1:18" x14ac:dyDescent="0.25">
      <c r="A926" t="s">
        <v>1789</v>
      </c>
      <c r="B926" s="7">
        <v>44451</v>
      </c>
      <c r="C926" t="str">
        <f>TEXT(Table3[[#This Row],[Order Date]],"yyyy")</f>
        <v>2021</v>
      </c>
      <c r="D926" t="s">
        <v>6228</v>
      </c>
      <c r="E926" t="s">
        <v>1790</v>
      </c>
      <c r="F926" t="s">
        <v>210</v>
      </c>
      <c r="G926">
        <v>3</v>
      </c>
      <c r="H926" t="s">
        <v>5876</v>
      </c>
      <c r="I926" t="s">
        <v>6210</v>
      </c>
      <c r="J926" t="s">
        <v>4396</v>
      </c>
      <c r="K926" t="s">
        <v>1947</v>
      </c>
      <c r="L926" t="s">
        <v>6213</v>
      </c>
      <c r="M926" t="s">
        <v>6215</v>
      </c>
      <c r="N926">
        <v>2.5</v>
      </c>
      <c r="O926">
        <v>29.784999999999997</v>
      </c>
      <c r="P926">
        <v>1.1913999999999998</v>
      </c>
      <c r="Q926">
        <v>2.6806499999999995</v>
      </c>
      <c r="R926" s="5">
        <v>89.35499999999999</v>
      </c>
    </row>
    <row r="927" spans="1:18" x14ac:dyDescent="0.25">
      <c r="A927" t="s">
        <v>1791</v>
      </c>
      <c r="B927" s="7">
        <v>44770</v>
      </c>
      <c r="C927" t="str">
        <f>TEXT(Table3[[#This Row],[Order Date]],"yyyy")</f>
        <v>2022</v>
      </c>
      <c r="D927" t="s">
        <v>6230</v>
      </c>
      <c r="E927" t="s">
        <v>1735</v>
      </c>
      <c r="F927" t="s">
        <v>73</v>
      </c>
      <c r="G927">
        <v>3</v>
      </c>
      <c r="H927" t="s">
        <v>5765</v>
      </c>
      <c r="I927" t="s">
        <v>6210</v>
      </c>
      <c r="J927" t="s">
        <v>2033</v>
      </c>
      <c r="K927" t="s">
        <v>1947</v>
      </c>
      <c r="L927" t="s">
        <v>6213</v>
      </c>
      <c r="M927" t="s">
        <v>6193</v>
      </c>
      <c r="N927">
        <v>0.5</v>
      </c>
      <c r="O927">
        <v>6.75</v>
      </c>
      <c r="P927">
        <v>1.35</v>
      </c>
      <c r="Q927">
        <v>0.60749999999999993</v>
      </c>
      <c r="R927" s="5">
        <v>20.25</v>
      </c>
    </row>
    <row r="928" spans="1:18" x14ac:dyDescent="0.25">
      <c r="A928" t="s">
        <v>1792</v>
      </c>
      <c r="B928" s="7">
        <v>44012</v>
      </c>
      <c r="C928" t="str">
        <f>TEXT(Table3[[#This Row],[Order Date]],"yyyy")</f>
        <v>2020</v>
      </c>
      <c r="D928" t="s">
        <v>6229</v>
      </c>
      <c r="E928" t="s">
        <v>1793</v>
      </c>
      <c r="F928" t="s">
        <v>73</v>
      </c>
      <c r="G928">
        <v>5</v>
      </c>
      <c r="H928" t="s">
        <v>5883</v>
      </c>
      <c r="I928" t="s">
        <v>6210</v>
      </c>
      <c r="J928" t="s">
        <v>2182</v>
      </c>
      <c r="K928" t="s">
        <v>1938</v>
      </c>
      <c r="L928" t="s">
        <v>6213</v>
      </c>
      <c r="M928" t="s">
        <v>6193</v>
      </c>
      <c r="N928">
        <v>0.5</v>
      </c>
      <c r="O928">
        <v>6.75</v>
      </c>
      <c r="P928">
        <v>1.35</v>
      </c>
      <c r="Q928">
        <v>0.60749999999999993</v>
      </c>
      <c r="R928" s="5">
        <v>33.75</v>
      </c>
    </row>
    <row r="929" spans="1:18" x14ac:dyDescent="0.25">
      <c r="A929" t="s">
        <v>1794</v>
      </c>
      <c r="B929" s="7">
        <v>43474</v>
      </c>
      <c r="C929" t="str">
        <f>TEXT(Table3[[#This Row],[Order Date]],"yyyy")</f>
        <v>2019</v>
      </c>
      <c r="D929" t="s">
        <v>6232</v>
      </c>
      <c r="E929" t="s">
        <v>1795</v>
      </c>
      <c r="F929" t="s">
        <v>536</v>
      </c>
      <c r="G929">
        <v>4</v>
      </c>
      <c r="H929" t="s">
        <v>5887</v>
      </c>
      <c r="I929" t="s">
        <v>6210</v>
      </c>
      <c r="J929" t="s">
        <v>2018</v>
      </c>
      <c r="K929" t="s">
        <v>1947</v>
      </c>
      <c r="L929" t="s">
        <v>6212</v>
      </c>
      <c r="M929" t="s">
        <v>6195</v>
      </c>
      <c r="N929">
        <v>2.5</v>
      </c>
      <c r="O929">
        <v>27.945</v>
      </c>
      <c r="P929">
        <v>1.1177999999999999</v>
      </c>
      <c r="Q929">
        <v>3.07395</v>
      </c>
      <c r="R929" s="5">
        <v>111.78</v>
      </c>
    </row>
    <row r="930" spans="1:18" x14ac:dyDescent="0.25">
      <c r="A930" t="s">
        <v>1796</v>
      </c>
      <c r="B930" s="7">
        <v>44754</v>
      </c>
      <c r="C930" t="str">
        <f>TEXT(Table3[[#This Row],[Order Date]],"yyyy")</f>
        <v>2022</v>
      </c>
      <c r="D930" t="s">
        <v>6230</v>
      </c>
      <c r="E930" t="s">
        <v>1797</v>
      </c>
      <c r="F930" t="s">
        <v>118</v>
      </c>
      <c r="G930">
        <v>2</v>
      </c>
      <c r="H930" t="s">
        <v>5891</v>
      </c>
      <c r="I930" t="s">
        <v>6210</v>
      </c>
      <c r="J930" t="s">
        <v>2033</v>
      </c>
      <c r="K930" t="s">
        <v>1938</v>
      </c>
      <c r="L930" t="s">
        <v>6212</v>
      </c>
      <c r="M930" t="s">
        <v>6193</v>
      </c>
      <c r="N930">
        <v>2.5</v>
      </c>
      <c r="O930">
        <v>31.624999999999996</v>
      </c>
      <c r="P930">
        <v>1.2649999999999999</v>
      </c>
      <c r="Q930">
        <v>3.4787499999999998</v>
      </c>
      <c r="R930" s="5">
        <v>63.249999999999993</v>
      </c>
    </row>
    <row r="931" spans="1:18" x14ac:dyDescent="0.25">
      <c r="A931" t="s">
        <v>1798</v>
      </c>
      <c r="B931" s="7">
        <v>44165</v>
      </c>
      <c r="C931" t="str">
        <f>TEXT(Table3[[#This Row],[Order Date]],"yyyy")</f>
        <v>2020</v>
      </c>
      <c r="D931" t="s">
        <v>6239</v>
      </c>
      <c r="E931" t="s">
        <v>1799</v>
      </c>
      <c r="F931" t="s">
        <v>260</v>
      </c>
      <c r="G931">
        <v>2</v>
      </c>
      <c r="H931" t="s">
        <v>5894</v>
      </c>
      <c r="I931" t="s">
        <v>6210</v>
      </c>
      <c r="J931" t="s">
        <v>2182</v>
      </c>
      <c r="K931" t="s">
        <v>1938</v>
      </c>
      <c r="L931" t="s">
        <v>6212</v>
      </c>
      <c r="M931" t="s">
        <v>6215</v>
      </c>
      <c r="N931">
        <v>0.2</v>
      </c>
      <c r="O931">
        <v>4.4550000000000001</v>
      </c>
      <c r="P931">
        <v>2.2275</v>
      </c>
      <c r="Q931">
        <v>0.49004999999999999</v>
      </c>
      <c r="R931" s="5">
        <v>8.91</v>
      </c>
    </row>
    <row r="932" spans="1:18" x14ac:dyDescent="0.25">
      <c r="A932" t="s">
        <v>1800</v>
      </c>
      <c r="B932" s="7">
        <v>43546</v>
      </c>
      <c r="C932" t="str">
        <f>TEXT(Table3[[#This Row],[Order Date]],"yyyy")</f>
        <v>2019</v>
      </c>
      <c r="D932" t="s">
        <v>6234</v>
      </c>
      <c r="E932" t="s">
        <v>1801</v>
      </c>
      <c r="F932" t="s">
        <v>251</v>
      </c>
      <c r="G932">
        <v>1</v>
      </c>
      <c r="H932" t="s">
        <v>5898</v>
      </c>
      <c r="I932" t="s">
        <v>6210</v>
      </c>
      <c r="J932" t="s">
        <v>2182</v>
      </c>
      <c r="K932" t="s">
        <v>1938</v>
      </c>
      <c r="L932" t="s">
        <v>6212</v>
      </c>
      <c r="M932" t="s">
        <v>6195</v>
      </c>
      <c r="N932">
        <v>1</v>
      </c>
      <c r="O932">
        <v>12.15</v>
      </c>
      <c r="P932">
        <v>1.2150000000000001</v>
      </c>
      <c r="Q932">
        <v>1.3365</v>
      </c>
      <c r="R932" s="5">
        <v>12.15</v>
      </c>
    </row>
    <row r="933" spans="1:18" x14ac:dyDescent="0.25">
      <c r="A933" t="s">
        <v>1802</v>
      </c>
      <c r="B933" s="7">
        <v>44607</v>
      </c>
      <c r="C933" t="str">
        <f>TEXT(Table3[[#This Row],[Order Date]],"yyyy")</f>
        <v>2022</v>
      </c>
      <c r="D933" t="s">
        <v>6238</v>
      </c>
      <c r="E933" t="s">
        <v>1803</v>
      </c>
      <c r="F933" t="s">
        <v>78</v>
      </c>
      <c r="G933">
        <v>4</v>
      </c>
      <c r="H933" t="s">
        <v>5901</v>
      </c>
      <c r="I933" t="s">
        <v>6210</v>
      </c>
      <c r="J933" t="s">
        <v>4881</v>
      </c>
      <c r="K933" t="s">
        <v>1938</v>
      </c>
      <c r="L933" t="s">
        <v>6213</v>
      </c>
      <c r="M933" t="s">
        <v>6195</v>
      </c>
      <c r="N933">
        <v>0.5</v>
      </c>
      <c r="O933">
        <v>5.97</v>
      </c>
      <c r="P933">
        <v>1.194</v>
      </c>
      <c r="Q933">
        <v>0.5373</v>
      </c>
      <c r="R933" s="5">
        <v>23.88</v>
      </c>
    </row>
    <row r="934" spans="1:18" x14ac:dyDescent="0.25">
      <c r="A934" t="s">
        <v>1804</v>
      </c>
      <c r="B934" s="7">
        <v>44117</v>
      </c>
      <c r="C934" t="str">
        <f>TEXT(Table3[[#This Row],[Order Date]],"yyyy")</f>
        <v>2020</v>
      </c>
      <c r="D934" t="s">
        <v>6235</v>
      </c>
      <c r="E934" t="s">
        <v>1805</v>
      </c>
      <c r="F934" t="s">
        <v>15</v>
      </c>
      <c r="G934">
        <v>4</v>
      </c>
      <c r="H934" t="s">
        <v>5903</v>
      </c>
      <c r="I934" t="s">
        <v>6210</v>
      </c>
      <c r="J934" t="s">
        <v>3576</v>
      </c>
      <c r="K934" t="s">
        <v>1947</v>
      </c>
      <c r="L934" t="s">
        <v>6212</v>
      </c>
      <c r="M934" t="s">
        <v>6193</v>
      </c>
      <c r="N934">
        <v>1</v>
      </c>
      <c r="O934">
        <v>13.75</v>
      </c>
      <c r="P934">
        <v>1.375</v>
      </c>
      <c r="Q934">
        <v>1.5125</v>
      </c>
      <c r="R934" s="5">
        <v>55</v>
      </c>
    </row>
    <row r="935" spans="1:18" x14ac:dyDescent="0.25">
      <c r="A935" t="s">
        <v>1806</v>
      </c>
      <c r="B935" s="7">
        <v>44557</v>
      </c>
      <c r="C935" t="str">
        <f>TEXT(Table3[[#This Row],[Order Date]],"yyyy")</f>
        <v>2021</v>
      </c>
      <c r="D935" t="s">
        <v>6237</v>
      </c>
      <c r="E935" t="s">
        <v>1807</v>
      </c>
      <c r="F935" t="s">
        <v>185</v>
      </c>
      <c r="G935">
        <v>3</v>
      </c>
      <c r="H935" t="s">
        <v>5907</v>
      </c>
      <c r="I935" t="s">
        <v>6210</v>
      </c>
      <c r="J935" t="s">
        <v>2358</v>
      </c>
      <c r="K935" t="s">
        <v>1938</v>
      </c>
      <c r="L935" t="s">
        <v>6211</v>
      </c>
      <c r="M935" t="s">
        <v>6195</v>
      </c>
      <c r="N935">
        <v>1</v>
      </c>
      <c r="O935">
        <v>8.9499999999999993</v>
      </c>
      <c r="P935">
        <v>0.89499999999999991</v>
      </c>
      <c r="Q935">
        <v>0.53699999999999992</v>
      </c>
      <c r="R935" s="5">
        <v>26.849999999999998</v>
      </c>
    </row>
    <row r="936" spans="1:18" x14ac:dyDescent="0.25">
      <c r="A936" t="s">
        <v>1808</v>
      </c>
      <c r="B936" s="7">
        <v>44409</v>
      </c>
      <c r="C936" t="str">
        <f>TEXT(Table3[[#This Row],[Order Date]],"yyyy")</f>
        <v>2021</v>
      </c>
      <c r="D936" t="s">
        <v>6231</v>
      </c>
      <c r="E936" t="s">
        <v>1809</v>
      </c>
      <c r="F936" t="s">
        <v>47</v>
      </c>
      <c r="G936">
        <v>5</v>
      </c>
      <c r="H936" t="s">
        <v>5910</v>
      </c>
      <c r="I936" t="s">
        <v>6210</v>
      </c>
      <c r="J936" t="s">
        <v>5708</v>
      </c>
      <c r="K936" t="s">
        <v>1947</v>
      </c>
      <c r="L936" t="s">
        <v>6211</v>
      </c>
      <c r="M936" t="s">
        <v>6193</v>
      </c>
      <c r="N936">
        <v>2.5</v>
      </c>
      <c r="O936">
        <v>22.884999999999998</v>
      </c>
      <c r="P936">
        <v>0.91539999999999988</v>
      </c>
      <c r="Q936">
        <v>1.3730999999999998</v>
      </c>
      <c r="R936" s="5">
        <v>114.42499999999998</v>
      </c>
    </row>
    <row r="937" spans="1:18" x14ac:dyDescent="0.25">
      <c r="A937" t="s">
        <v>1810</v>
      </c>
      <c r="B937" s="7">
        <v>44153</v>
      </c>
      <c r="C937" t="str">
        <f>TEXT(Table3[[#This Row],[Order Date]],"yyyy")</f>
        <v>2020</v>
      </c>
      <c r="D937" t="s">
        <v>6239</v>
      </c>
      <c r="E937" t="s">
        <v>1811</v>
      </c>
      <c r="F937" t="s">
        <v>177</v>
      </c>
      <c r="G937">
        <v>6</v>
      </c>
      <c r="H937" t="s">
        <v>5914</v>
      </c>
      <c r="I937" t="s">
        <v>6210</v>
      </c>
      <c r="J937" t="s">
        <v>2739</v>
      </c>
      <c r="K937" t="s">
        <v>1938</v>
      </c>
      <c r="L937" t="s">
        <v>6213</v>
      </c>
      <c r="M937" t="s">
        <v>6193</v>
      </c>
      <c r="N937">
        <v>2.5</v>
      </c>
      <c r="O937">
        <v>25.874999999999996</v>
      </c>
      <c r="P937">
        <v>1.0349999999999999</v>
      </c>
      <c r="Q937">
        <v>2.3287499999999994</v>
      </c>
      <c r="R937" s="5">
        <v>155.24999999999997</v>
      </c>
    </row>
    <row r="938" spans="1:18" x14ac:dyDescent="0.25">
      <c r="A938" t="s">
        <v>1812</v>
      </c>
      <c r="B938" s="7">
        <v>44493</v>
      </c>
      <c r="C938" t="str">
        <f>TEXT(Table3[[#This Row],[Order Date]],"yyyy")</f>
        <v>2021</v>
      </c>
      <c r="D938" t="s">
        <v>6235</v>
      </c>
      <c r="E938" t="s">
        <v>1813</v>
      </c>
      <c r="F938" t="s">
        <v>129</v>
      </c>
      <c r="G938">
        <v>3</v>
      </c>
      <c r="H938" t="s">
        <v>5918</v>
      </c>
      <c r="I938" t="s">
        <v>6210</v>
      </c>
      <c r="J938" t="s">
        <v>2942</v>
      </c>
      <c r="K938" t="s">
        <v>1938</v>
      </c>
      <c r="L938" t="s">
        <v>6199</v>
      </c>
      <c r="M938" t="s">
        <v>6195</v>
      </c>
      <c r="N938">
        <v>0.5</v>
      </c>
      <c r="O938">
        <v>7.77</v>
      </c>
      <c r="P938">
        <v>1.5539999999999998</v>
      </c>
      <c r="Q938">
        <v>1.0101</v>
      </c>
      <c r="R938" s="5">
        <v>23.31</v>
      </c>
    </row>
    <row r="939" spans="1:18" x14ac:dyDescent="0.25">
      <c r="A939" t="s">
        <v>1812</v>
      </c>
      <c r="B939" s="7">
        <v>44493</v>
      </c>
      <c r="C939" t="str">
        <f>TEXT(Table3[[#This Row],[Order Date]],"yyyy")</f>
        <v>2021</v>
      </c>
      <c r="D939" t="s">
        <v>6235</v>
      </c>
      <c r="E939" t="s">
        <v>1813</v>
      </c>
      <c r="F939" t="s">
        <v>47</v>
      </c>
      <c r="G939">
        <v>4</v>
      </c>
      <c r="H939" t="s">
        <v>5918</v>
      </c>
      <c r="I939" t="s">
        <v>6210</v>
      </c>
      <c r="J939" t="s">
        <v>2942</v>
      </c>
      <c r="K939" t="s">
        <v>1938</v>
      </c>
      <c r="L939" t="s">
        <v>6211</v>
      </c>
      <c r="M939" t="s">
        <v>6193</v>
      </c>
      <c r="N939">
        <v>2.5</v>
      </c>
      <c r="O939">
        <v>22.884999999999998</v>
      </c>
      <c r="P939">
        <v>0.91539999999999988</v>
      </c>
      <c r="Q939">
        <v>1.3730999999999998</v>
      </c>
      <c r="R939" s="5">
        <v>91.539999999999992</v>
      </c>
    </row>
    <row r="940" spans="1:18" x14ac:dyDescent="0.25">
      <c r="A940" t="s">
        <v>1814</v>
      </c>
      <c r="B940" s="7">
        <v>43829</v>
      </c>
      <c r="C940" t="str">
        <f>TEXT(Table3[[#This Row],[Order Date]],"yyyy")</f>
        <v>2019</v>
      </c>
      <c r="D940" t="s">
        <v>6237</v>
      </c>
      <c r="E940" t="s">
        <v>1815</v>
      </c>
      <c r="F940" t="s">
        <v>143</v>
      </c>
      <c r="G940">
        <v>5</v>
      </c>
      <c r="H940" t="s">
        <v>5927</v>
      </c>
      <c r="I940" t="s">
        <v>6210</v>
      </c>
      <c r="J940" t="s">
        <v>2023</v>
      </c>
      <c r="K940" t="s">
        <v>1938</v>
      </c>
      <c r="L940" t="s">
        <v>6212</v>
      </c>
      <c r="M940" t="s">
        <v>6215</v>
      </c>
      <c r="N940">
        <v>1</v>
      </c>
      <c r="O940">
        <v>14.85</v>
      </c>
      <c r="P940">
        <v>1.4849999999999999</v>
      </c>
      <c r="Q940">
        <v>1.6335</v>
      </c>
      <c r="R940" s="5">
        <v>74.25</v>
      </c>
    </row>
    <row r="941" spans="1:18" x14ac:dyDescent="0.25">
      <c r="A941" t="s">
        <v>1816</v>
      </c>
      <c r="B941" s="7">
        <v>44229</v>
      </c>
      <c r="C941" t="str">
        <f>TEXT(Table3[[#This Row],[Order Date]],"yyyy")</f>
        <v>2021</v>
      </c>
      <c r="D941" t="s">
        <v>6238</v>
      </c>
      <c r="E941" t="s">
        <v>1817</v>
      </c>
      <c r="F941" t="s">
        <v>25</v>
      </c>
      <c r="G941">
        <v>6</v>
      </c>
      <c r="H941" t="s">
        <v>5931</v>
      </c>
      <c r="I941" t="s">
        <v>6210</v>
      </c>
      <c r="J941" t="s">
        <v>5935</v>
      </c>
      <c r="K941" t="s">
        <v>1947</v>
      </c>
      <c r="L941" t="s">
        <v>6199</v>
      </c>
      <c r="M941" t="s">
        <v>6215</v>
      </c>
      <c r="N941">
        <v>0.2</v>
      </c>
      <c r="O941">
        <v>4.7549999999999999</v>
      </c>
      <c r="P941">
        <v>2.3774999999999999</v>
      </c>
      <c r="Q941">
        <v>0.61814999999999998</v>
      </c>
      <c r="R941" s="5">
        <v>28.53</v>
      </c>
    </row>
    <row r="942" spans="1:18" x14ac:dyDescent="0.25">
      <c r="A942" t="s">
        <v>1818</v>
      </c>
      <c r="B942" s="7">
        <v>44332</v>
      </c>
      <c r="C942" t="str">
        <f>TEXT(Table3[[#This Row],[Order Date]],"yyyy")</f>
        <v>2021</v>
      </c>
      <c r="D942" t="s">
        <v>6233</v>
      </c>
      <c r="E942" t="s">
        <v>1819</v>
      </c>
      <c r="F942" t="s">
        <v>163</v>
      </c>
      <c r="G942">
        <v>2</v>
      </c>
      <c r="H942" t="s">
        <v>5936</v>
      </c>
      <c r="I942" t="s">
        <v>6210</v>
      </c>
      <c r="J942" t="s">
        <v>2182</v>
      </c>
      <c r="K942" t="s">
        <v>1938</v>
      </c>
      <c r="L942" t="s">
        <v>6211</v>
      </c>
      <c r="M942" t="s">
        <v>6215</v>
      </c>
      <c r="N942">
        <v>0.5</v>
      </c>
      <c r="O942">
        <v>7.169999999999999</v>
      </c>
      <c r="P942">
        <v>1.4339999999999997</v>
      </c>
      <c r="Q942">
        <v>0.43019999999999992</v>
      </c>
      <c r="R942" s="5">
        <v>14.339999999999998</v>
      </c>
    </row>
    <row r="943" spans="1:18" x14ac:dyDescent="0.25">
      <c r="A943" t="s">
        <v>1820</v>
      </c>
      <c r="B943" s="7">
        <v>44674</v>
      </c>
      <c r="C943" t="str">
        <f>TEXT(Table3[[#This Row],[Order Date]],"yyyy")</f>
        <v>2022</v>
      </c>
      <c r="D943" t="s">
        <v>6236</v>
      </c>
      <c r="E943" t="s">
        <v>1821</v>
      </c>
      <c r="F943" t="s">
        <v>198</v>
      </c>
      <c r="G943">
        <v>2</v>
      </c>
      <c r="H943" t="s">
        <v>5940</v>
      </c>
      <c r="I943" t="s">
        <v>1945</v>
      </c>
      <c r="J943" t="s">
        <v>5944</v>
      </c>
      <c r="K943" t="s">
        <v>1938</v>
      </c>
      <c r="L943" t="s">
        <v>6213</v>
      </c>
      <c r="M943" t="s">
        <v>6215</v>
      </c>
      <c r="N943">
        <v>0.5</v>
      </c>
      <c r="O943">
        <v>7.77</v>
      </c>
      <c r="P943">
        <v>1.5539999999999998</v>
      </c>
      <c r="Q943">
        <v>0.69929999999999992</v>
      </c>
      <c r="R943" s="5">
        <v>15.54</v>
      </c>
    </row>
    <row r="944" spans="1:18" x14ac:dyDescent="0.25">
      <c r="A944" t="s">
        <v>1822</v>
      </c>
      <c r="B944" s="7">
        <v>44464</v>
      </c>
      <c r="C944" t="str">
        <f>TEXT(Table3[[#This Row],[Order Date]],"yyyy")</f>
        <v>2021</v>
      </c>
      <c r="D944" t="s">
        <v>6228</v>
      </c>
      <c r="E944" t="s">
        <v>1823</v>
      </c>
      <c r="F944" t="s">
        <v>195</v>
      </c>
      <c r="G944">
        <v>3</v>
      </c>
      <c r="H944" t="s">
        <v>5946</v>
      </c>
      <c r="I944" t="s">
        <v>6210</v>
      </c>
      <c r="J944" t="s">
        <v>2748</v>
      </c>
      <c r="K944" t="s">
        <v>1947</v>
      </c>
      <c r="L944" t="s">
        <v>6211</v>
      </c>
      <c r="M944" t="s">
        <v>6215</v>
      </c>
      <c r="N944">
        <v>1</v>
      </c>
      <c r="O944">
        <v>11.95</v>
      </c>
      <c r="P944">
        <v>1.1949999999999998</v>
      </c>
      <c r="Q944">
        <v>0.71699999999999997</v>
      </c>
      <c r="R944" s="5">
        <v>35.849999999999994</v>
      </c>
    </row>
    <row r="945" spans="1:18" x14ac:dyDescent="0.25">
      <c r="A945" t="s">
        <v>1824</v>
      </c>
      <c r="B945" s="7">
        <v>44719</v>
      </c>
      <c r="C945" t="str">
        <f>TEXT(Table3[[#This Row],[Order Date]],"yyyy")</f>
        <v>2022</v>
      </c>
      <c r="D945" t="s">
        <v>6229</v>
      </c>
      <c r="E945" t="s">
        <v>1825</v>
      </c>
      <c r="F945" t="s">
        <v>198</v>
      </c>
      <c r="G945">
        <v>6</v>
      </c>
      <c r="H945" t="s">
        <v>5950</v>
      </c>
      <c r="I945" t="s">
        <v>6210</v>
      </c>
      <c r="J945" t="s">
        <v>3519</v>
      </c>
      <c r="K945" t="s">
        <v>1947</v>
      </c>
      <c r="L945" t="s">
        <v>6213</v>
      </c>
      <c r="M945" t="s">
        <v>6215</v>
      </c>
      <c r="N945">
        <v>0.5</v>
      </c>
      <c r="O945">
        <v>7.77</v>
      </c>
      <c r="P945">
        <v>1.5539999999999998</v>
      </c>
      <c r="Q945">
        <v>0.69929999999999992</v>
      </c>
      <c r="R945" s="5">
        <v>46.62</v>
      </c>
    </row>
    <row r="946" spans="1:18" x14ac:dyDescent="0.25">
      <c r="A946" t="s">
        <v>1826</v>
      </c>
      <c r="B946" s="7">
        <v>44054</v>
      </c>
      <c r="C946" t="str">
        <f>TEXT(Table3[[#This Row],[Order Date]],"yyyy")</f>
        <v>2020</v>
      </c>
      <c r="D946" t="s">
        <v>6231</v>
      </c>
      <c r="E946" t="s">
        <v>1827</v>
      </c>
      <c r="F946" t="s">
        <v>163</v>
      </c>
      <c r="G946">
        <v>5</v>
      </c>
      <c r="H946" t="s">
        <v>5954</v>
      </c>
      <c r="I946" t="s">
        <v>6210</v>
      </c>
      <c r="J946" t="s">
        <v>3143</v>
      </c>
      <c r="K946" t="s">
        <v>1947</v>
      </c>
      <c r="L946" t="s">
        <v>6211</v>
      </c>
      <c r="M946" t="s">
        <v>6215</v>
      </c>
      <c r="N946">
        <v>0.5</v>
      </c>
      <c r="O946">
        <v>7.169999999999999</v>
      </c>
      <c r="P946">
        <v>1.4339999999999997</v>
      </c>
      <c r="Q946">
        <v>0.43019999999999992</v>
      </c>
      <c r="R946" s="5">
        <v>35.849999999999994</v>
      </c>
    </row>
    <row r="947" spans="1:18" x14ac:dyDescent="0.25">
      <c r="A947" t="s">
        <v>1828</v>
      </c>
      <c r="B947" s="7">
        <v>43524</v>
      </c>
      <c r="C947" t="str">
        <f>TEXT(Table3[[#This Row],[Order Date]],"yyyy")</f>
        <v>2019</v>
      </c>
      <c r="D947" t="s">
        <v>6238</v>
      </c>
      <c r="E947" t="s">
        <v>1829</v>
      </c>
      <c r="F947" t="s">
        <v>115</v>
      </c>
      <c r="G947">
        <v>4</v>
      </c>
      <c r="H947" t="s">
        <v>5958</v>
      </c>
      <c r="I947" t="s">
        <v>6210</v>
      </c>
      <c r="J947" t="s">
        <v>2444</v>
      </c>
      <c r="K947" t="s">
        <v>1947</v>
      </c>
      <c r="L947" t="s">
        <v>6199</v>
      </c>
      <c r="M947" t="s">
        <v>6195</v>
      </c>
      <c r="N947">
        <v>2.5</v>
      </c>
      <c r="O947">
        <v>29.784999999999997</v>
      </c>
      <c r="P947">
        <v>1.1913999999999998</v>
      </c>
      <c r="Q947">
        <v>3.8720499999999998</v>
      </c>
      <c r="R947" s="5">
        <v>119.13999999999999</v>
      </c>
    </row>
    <row r="948" spans="1:18" x14ac:dyDescent="0.25">
      <c r="A948" t="s">
        <v>1830</v>
      </c>
      <c r="B948" s="7">
        <v>43719</v>
      </c>
      <c r="C948" t="str">
        <f>TEXT(Table3[[#This Row],[Order Date]],"yyyy")</f>
        <v>2019</v>
      </c>
      <c r="D948" t="s">
        <v>6228</v>
      </c>
      <c r="E948" t="s">
        <v>1831</v>
      </c>
      <c r="F948" t="s">
        <v>129</v>
      </c>
      <c r="G948">
        <v>3</v>
      </c>
      <c r="H948" t="s">
        <v>5961</v>
      </c>
      <c r="I948" t="s">
        <v>6210</v>
      </c>
      <c r="J948" t="s">
        <v>2168</v>
      </c>
      <c r="K948" t="s">
        <v>1947</v>
      </c>
      <c r="L948" t="s">
        <v>6199</v>
      </c>
      <c r="M948" t="s">
        <v>6195</v>
      </c>
      <c r="N948">
        <v>0.5</v>
      </c>
      <c r="O948">
        <v>7.77</v>
      </c>
      <c r="P948">
        <v>1.5539999999999998</v>
      </c>
      <c r="Q948">
        <v>1.0101</v>
      </c>
      <c r="R948" s="5">
        <v>23.31</v>
      </c>
    </row>
    <row r="949" spans="1:18" x14ac:dyDescent="0.25">
      <c r="A949" t="s">
        <v>1832</v>
      </c>
      <c r="B949" s="7">
        <v>44294</v>
      </c>
      <c r="C949" t="str">
        <f>TEXT(Table3[[#This Row],[Order Date]],"yyyy")</f>
        <v>2021</v>
      </c>
      <c r="D949" t="s">
        <v>6236</v>
      </c>
      <c r="E949" t="s">
        <v>1833</v>
      </c>
      <c r="F949" t="s">
        <v>67</v>
      </c>
      <c r="G949">
        <v>1</v>
      </c>
      <c r="H949" t="s">
        <v>5964</v>
      </c>
      <c r="I949" t="s">
        <v>1945</v>
      </c>
      <c r="J949" t="s">
        <v>2603</v>
      </c>
      <c r="K949" t="s">
        <v>1947</v>
      </c>
      <c r="L949" t="s">
        <v>6213</v>
      </c>
      <c r="M949" t="s">
        <v>6193</v>
      </c>
      <c r="N949">
        <v>1</v>
      </c>
      <c r="O949">
        <v>11.25</v>
      </c>
      <c r="P949">
        <v>1.125</v>
      </c>
      <c r="Q949">
        <v>1.0125</v>
      </c>
      <c r="R949" s="5">
        <v>11.25</v>
      </c>
    </row>
    <row r="950" spans="1:18" x14ac:dyDescent="0.25">
      <c r="A950" t="s">
        <v>1834</v>
      </c>
      <c r="B950" s="7">
        <v>44445</v>
      </c>
      <c r="C950" t="str">
        <f>TEXT(Table3[[#This Row],[Order Date]],"yyyy")</f>
        <v>2021</v>
      </c>
      <c r="D950" t="s">
        <v>6228</v>
      </c>
      <c r="E950" t="s">
        <v>1835</v>
      </c>
      <c r="F950" t="s">
        <v>536</v>
      </c>
      <c r="G950">
        <v>3</v>
      </c>
      <c r="H950" t="s">
        <v>5967</v>
      </c>
      <c r="I950" t="s">
        <v>2112</v>
      </c>
      <c r="J950" t="s">
        <v>4480</v>
      </c>
      <c r="K950" t="s">
        <v>1938</v>
      </c>
      <c r="L950" t="s">
        <v>6212</v>
      </c>
      <c r="M950" t="s">
        <v>6195</v>
      </c>
      <c r="N950">
        <v>2.5</v>
      </c>
      <c r="O950">
        <v>27.945</v>
      </c>
      <c r="P950">
        <v>1.1177999999999999</v>
      </c>
      <c r="Q950">
        <v>3.07395</v>
      </c>
      <c r="R950" s="5">
        <v>83.835000000000008</v>
      </c>
    </row>
    <row r="951" spans="1:18" x14ac:dyDescent="0.25">
      <c r="A951" t="s">
        <v>1836</v>
      </c>
      <c r="B951" s="7">
        <v>44449</v>
      </c>
      <c r="C951" t="str">
        <f>TEXT(Table3[[#This Row],[Order Date]],"yyyy")</f>
        <v>2021</v>
      </c>
      <c r="D951" t="s">
        <v>6228</v>
      </c>
      <c r="E951" t="s">
        <v>1837</v>
      </c>
      <c r="F951" t="s">
        <v>16</v>
      </c>
      <c r="G951">
        <v>4</v>
      </c>
      <c r="H951" t="s">
        <v>5972</v>
      </c>
      <c r="I951" t="s">
        <v>1945</v>
      </c>
      <c r="J951" t="s">
        <v>5976</v>
      </c>
      <c r="K951" t="s">
        <v>1947</v>
      </c>
      <c r="L951" t="s">
        <v>6211</v>
      </c>
      <c r="M951" t="s">
        <v>6215</v>
      </c>
      <c r="N951">
        <v>2.5</v>
      </c>
      <c r="O951">
        <v>27.484999999999996</v>
      </c>
      <c r="P951">
        <v>1.0993999999999999</v>
      </c>
      <c r="Q951">
        <v>1.6490999999999998</v>
      </c>
      <c r="R951" s="5">
        <v>109.93999999999998</v>
      </c>
    </row>
    <row r="952" spans="1:18" x14ac:dyDescent="0.25">
      <c r="A952" t="s">
        <v>1838</v>
      </c>
      <c r="B952" s="7">
        <v>44703</v>
      </c>
      <c r="C952" t="str">
        <f>TEXT(Table3[[#This Row],[Order Date]],"yyyy")</f>
        <v>2022</v>
      </c>
      <c r="D952" t="s">
        <v>6233</v>
      </c>
      <c r="E952" t="s">
        <v>1839</v>
      </c>
      <c r="F952" t="s">
        <v>188</v>
      </c>
      <c r="G952">
        <v>4</v>
      </c>
      <c r="H952" t="s">
        <v>5978</v>
      </c>
      <c r="I952" t="s">
        <v>6210</v>
      </c>
      <c r="J952" t="s">
        <v>5102</v>
      </c>
      <c r="K952" t="s">
        <v>1938</v>
      </c>
      <c r="L952" t="s">
        <v>6211</v>
      </c>
      <c r="M952" t="s">
        <v>6215</v>
      </c>
      <c r="N952">
        <v>0.2</v>
      </c>
      <c r="O952">
        <v>3.5849999999999995</v>
      </c>
      <c r="P952">
        <v>1.7924999999999998</v>
      </c>
      <c r="Q952">
        <v>0.21509999999999996</v>
      </c>
      <c r="R952" s="5">
        <v>14.339999999999998</v>
      </c>
    </row>
    <row r="953" spans="1:18" x14ac:dyDescent="0.25">
      <c r="A953" t="s">
        <v>1840</v>
      </c>
      <c r="B953" s="7">
        <v>44092</v>
      </c>
      <c r="C953" t="str">
        <f>TEXT(Table3[[#This Row],[Order Date]],"yyyy")</f>
        <v>2020</v>
      </c>
      <c r="D953" t="s">
        <v>6228</v>
      </c>
      <c r="E953" t="s">
        <v>1841</v>
      </c>
      <c r="F953" t="s">
        <v>188</v>
      </c>
      <c r="G953">
        <v>6</v>
      </c>
      <c r="H953" t="s">
        <v>5981</v>
      </c>
      <c r="I953" t="s">
        <v>6210</v>
      </c>
      <c r="J953" t="s">
        <v>3657</v>
      </c>
      <c r="K953" t="s">
        <v>1947</v>
      </c>
      <c r="L953" t="s">
        <v>6211</v>
      </c>
      <c r="M953" t="s">
        <v>6215</v>
      </c>
      <c r="N953">
        <v>0.2</v>
      </c>
      <c r="O953">
        <v>3.5849999999999995</v>
      </c>
      <c r="P953">
        <v>1.7924999999999998</v>
      </c>
      <c r="Q953">
        <v>0.21509999999999996</v>
      </c>
      <c r="R953" s="5">
        <v>21.509999999999998</v>
      </c>
    </row>
    <row r="954" spans="1:18" x14ac:dyDescent="0.25">
      <c r="A954" t="s">
        <v>1842</v>
      </c>
      <c r="B954" s="7">
        <v>44439</v>
      </c>
      <c r="C954" t="str">
        <f>TEXT(Table3[[#This Row],[Order Date]],"yyyy")</f>
        <v>2021</v>
      </c>
      <c r="D954" t="s">
        <v>6231</v>
      </c>
      <c r="E954" t="s">
        <v>1843</v>
      </c>
      <c r="F954" t="s">
        <v>67</v>
      </c>
      <c r="G954">
        <v>2</v>
      </c>
      <c r="H954" t="s">
        <v>5985</v>
      </c>
      <c r="I954" t="s">
        <v>1945</v>
      </c>
      <c r="J954" t="s">
        <v>5944</v>
      </c>
      <c r="K954" t="s">
        <v>1938</v>
      </c>
      <c r="L954" t="s">
        <v>6213</v>
      </c>
      <c r="M954" t="s">
        <v>6193</v>
      </c>
      <c r="N954">
        <v>1</v>
      </c>
      <c r="O954">
        <v>11.25</v>
      </c>
      <c r="P954">
        <v>1.125</v>
      </c>
      <c r="Q954">
        <v>1.0125</v>
      </c>
      <c r="R954" s="5">
        <v>22.5</v>
      </c>
    </row>
    <row r="955" spans="1:18" x14ac:dyDescent="0.25">
      <c r="A955" t="s">
        <v>1844</v>
      </c>
      <c r="B955" s="7">
        <v>44582</v>
      </c>
      <c r="C955" t="str">
        <f>TEXT(Table3[[#This Row],[Order Date]],"yyyy")</f>
        <v>2022</v>
      </c>
      <c r="D955" t="s">
        <v>6232</v>
      </c>
      <c r="E955" t="s">
        <v>1807</v>
      </c>
      <c r="F955" t="s">
        <v>121</v>
      </c>
      <c r="G955">
        <v>1</v>
      </c>
      <c r="H955" t="s">
        <v>5907</v>
      </c>
      <c r="I955" t="s">
        <v>6210</v>
      </c>
      <c r="J955" t="s">
        <v>2358</v>
      </c>
      <c r="K955" t="s">
        <v>1938</v>
      </c>
      <c r="L955" t="s">
        <v>6213</v>
      </c>
      <c r="M955" t="s">
        <v>6215</v>
      </c>
      <c r="N955">
        <v>0.2</v>
      </c>
      <c r="O955">
        <v>3.8849999999999998</v>
      </c>
      <c r="P955">
        <v>1.9424999999999999</v>
      </c>
      <c r="Q955">
        <v>0.34964999999999996</v>
      </c>
      <c r="R955" s="5">
        <v>3.8849999999999998</v>
      </c>
    </row>
    <row r="956" spans="1:18" x14ac:dyDescent="0.25">
      <c r="A956" t="s">
        <v>1845</v>
      </c>
      <c r="B956" s="7">
        <v>44722</v>
      </c>
      <c r="C956" t="str">
        <f>TEXT(Table3[[#This Row],[Order Date]],"yyyy")</f>
        <v>2022</v>
      </c>
      <c r="D956" t="s">
        <v>6229</v>
      </c>
      <c r="E956" t="s">
        <v>1807</v>
      </c>
      <c r="F956" t="s">
        <v>536</v>
      </c>
      <c r="G956">
        <v>1</v>
      </c>
      <c r="H956" t="s">
        <v>5907</v>
      </c>
      <c r="I956" t="s">
        <v>6210</v>
      </c>
      <c r="J956" t="s">
        <v>2358</v>
      </c>
      <c r="K956" t="s">
        <v>1938</v>
      </c>
      <c r="L956" t="s">
        <v>6212</v>
      </c>
      <c r="M956" t="s">
        <v>6195</v>
      </c>
      <c r="N956">
        <v>2.5</v>
      </c>
      <c r="O956">
        <v>27.945</v>
      </c>
      <c r="P956">
        <v>1.1177999999999999</v>
      </c>
      <c r="Q956">
        <v>3.07395</v>
      </c>
      <c r="R956" s="5">
        <v>27.945</v>
      </c>
    </row>
    <row r="957" spans="1:18" x14ac:dyDescent="0.25">
      <c r="A957" t="s">
        <v>1846</v>
      </c>
      <c r="B957" s="7">
        <v>43582</v>
      </c>
      <c r="C957" t="str">
        <f>TEXT(Table3[[#This Row],[Order Date]],"yyyy")</f>
        <v>2019</v>
      </c>
      <c r="D957" t="s">
        <v>6236</v>
      </c>
      <c r="E957" t="s">
        <v>1807</v>
      </c>
      <c r="F957" t="s">
        <v>36</v>
      </c>
      <c r="G957">
        <v>5</v>
      </c>
      <c r="H957" t="s">
        <v>5907</v>
      </c>
      <c r="I957" t="s">
        <v>6210</v>
      </c>
      <c r="J957" t="s">
        <v>2358</v>
      </c>
      <c r="K957" t="s">
        <v>1938</v>
      </c>
      <c r="L957" t="s">
        <v>6212</v>
      </c>
      <c r="M957" t="s">
        <v>6215</v>
      </c>
      <c r="N957">
        <v>2.5</v>
      </c>
      <c r="O957">
        <v>34.154999999999994</v>
      </c>
      <c r="P957">
        <v>1.3661999999999999</v>
      </c>
      <c r="Q957">
        <v>3.7570499999999996</v>
      </c>
      <c r="R957" s="5">
        <v>170.77499999999998</v>
      </c>
    </row>
    <row r="958" spans="1:18" x14ac:dyDescent="0.25">
      <c r="A958" t="s">
        <v>1846</v>
      </c>
      <c r="B958" s="7">
        <v>43582</v>
      </c>
      <c r="C958" t="str">
        <f>TEXT(Table3[[#This Row],[Order Date]],"yyyy")</f>
        <v>2019</v>
      </c>
      <c r="D958" t="s">
        <v>6236</v>
      </c>
      <c r="E958" t="s">
        <v>1807</v>
      </c>
      <c r="F958" t="s">
        <v>16</v>
      </c>
      <c r="G958">
        <v>2</v>
      </c>
      <c r="H958" t="s">
        <v>5907</v>
      </c>
      <c r="I958" t="s">
        <v>6210</v>
      </c>
      <c r="J958" t="s">
        <v>2358</v>
      </c>
      <c r="K958" t="s">
        <v>1938</v>
      </c>
      <c r="L958" t="s">
        <v>6211</v>
      </c>
      <c r="M958" t="s">
        <v>6215</v>
      </c>
      <c r="N958">
        <v>2.5</v>
      </c>
      <c r="O958">
        <v>27.484999999999996</v>
      </c>
      <c r="P958">
        <v>1.0993999999999999</v>
      </c>
      <c r="Q958">
        <v>1.6490999999999998</v>
      </c>
      <c r="R958" s="5">
        <v>54.969999999999992</v>
      </c>
    </row>
    <row r="959" spans="1:18" x14ac:dyDescent="0.25">
      <c r="A959" t="s">
        <v>1846</v>
      </c>
      <c r="B959" s="7">
        <v>43582</v>
      </c>
      <c r="C959" t="str">
        <f>TEXT(Table3[[#This Row],[Order Date]],"yyyy")</f>
        <v>2019</v>
      </c>
      <c r="D959" t="s">
        <v>6236</v>
      </c>
      <c r="E959" t="s">
        <v>1807</v>
      </c>
      <c r="F959" t="s">
        <v>143</v>
      </c>
      <c r="G959">
        <v>1</v>
      </c>
      <c r="H959" t="s">
        <v>5907</v>
      </c>
      <c r="I959" t="s">
        <v>6210</v>
      </c>
      <c r="J959" t="s">
        <v>2358</v>
      </c>
      <c r="K959" t="s">
        <v>1938</v>
      </c>
      <c r="L959" t="s">
        <v>6212</v>
      </c>
      <c r="M959" t="s">
        <v>6215</v>
      </c>
      <c r="N959">
        <v>1</v>
      </c>
      <c r="O959">
        <v>14.85</v>
      </c>
      <c r="P959">
        <v>1.4849999999999999</v>
      </c>
      <c r="Q959">
        <v>1.6335</v>
      </c>
      <c r="R959" s="5">
        <v>14.85</v>
      </c>
    </row>
    <row r="960" spans="1:18" x14ac:dyDescent="0.25">
      <c r="A960" t="s">
        <v>1846</v>
      </c>
      <c r="B960" s="7">
        <v>43582</v>
      </c>
      <c r="C960" t="str">
        <f>TEXT(Table3[[#This Row],[Order Date]],"yyyy")</f>
        <v>2019</v>
      </c>
      <c r="D960" t="s">
        <v>6236</v>
      </c>
      <c r="E960" t="s">
        <v>1807</v>
      </c>
      <c r="F960" t="s">
        <v>121</v>
      </c>
      <c r="G960">
        <v>2</v>
      </c>
      <c r="H960" t="s">
        <v>5907</v>
      </c>
      <c r="I960" t="s">
        <v>6210</v>
      </c>
      <c r="J960" t="s">
        <v>2358</v>
      </c>
      <c r="K960" t="s">
        <v>1938</v>
      </c>
      <c r="L960" t="s">
        <v>6213</v>
      </c>
      <c r="M960" t="s">
        <v>6215</v>
      </c>
      <c r="N960">
        <v>0.2</v>
      </c>
      <c r="O960">
        <v>3.8849999999999998</v>
      </c>
      <c r="P960">
        <v>1.9424999999999999</v>
      </c>
      <c r="Q960">
        <v>0.34964999999999996</v>
      </c>
      <c r="R960" s="5">
        <v>7.77</v>
      </c>
    </row>
    <row r="961" spans="1:18" x14ac:dyDescent="0.25">
      <c r="A961" t="s">
        <v>1847</v>
      </c>
      <c r="B961" s="7">
        <v>44598</v>
      </c>
      <c r="C961" t="str">
        <f>TEXT(Table3[[#This Row],[Order Date]],"yyyy")</f>
        <v>2022</v>
      </c>
      <c r="D961" t="s">
        <v>6238</v>
      </c>
      <c r="E961" t="s">
        <v>1848</v>
      </c>
      <c r="F961" t="s">
        <v>25</v>
      </c>
      <c r="G961">
        <v>5</v>
      </c>
      <c r="H961" t="s">
        <v>6019</v>
      </c>
      <c r="I961" t="s">
        <v>6210</v>
      </c>
      <c r="J961" t="s">
        <v>2123</v>
      </c>
      <c r="K961" t="s">
        <v>1938</v>
      </c>
      <c r="L961" t="s">
        <v>6199</v>
      </c>
      <c r="M961" t="s">
        <v>6215</v>
      </c>
      <c r="N961">
        <v>0.2</v>
      </c>
      <c r="O961">
        <v>4.7549999999999999</v>
      </c>
      <c r="P961">
        <v>2.3774999999999999</v>
      </c>
      <c r="Q961">
        <v>0.61814999999999998</v>
      </c>
      <c r="R961" s="5">
        <v>23.774999999999999</v>
      </c>
    </row>
    <row r="962" spans="1:18" x14ac:dyDescent="0.25">
      <c r="A962" t="s">
        <v>1849</v>
      </c>
      <c r="B962" s="7">
        <v>44591</v>
      </c>
      <c r="C962" t="str">
        <f>TEXT(Table3[[#This Row],[Order Date]],"yyyy")</f>
        <v>2022</v>
      </c>
      <c r="D962" t="s">
        <v>6232</v>
      </c>
      <c r="E962" t="s">
        <v>1850</v>
      </c>
      <c r="F962" t="s">
        <v>138</v>
      </c>
      <c r="G962">
        <v>5</v>
      </c>
      <c r="H962" t="s">
        <v>6022</v>
      </c>
      <c r="I962" t="s">
        <v>6210</v>
      </c>
      <c r="J962" t="s">
        <v>3698</v>
      </c>
      <c r="K962" t="s">
        <v>1938</v>
      </c>
      <c r="L962" t="s">
        <v>6199</v>
      </c>
      <c r="M962" t="s">
        <v>6215</v>
      </c>
      <c r="N962">
        <v>1</v>
      </c>
      <c r="O962">
        <v>15.85</v>
      </c>
      <c r="P962">
        <v>1.585</v>
      </c>
      <c r="Q962">
        <v>2.0605000000000002</v>
      </c>
      <c r="R962" s="5">
        <v>79.25</v>
      </c>
    </row>
    <row r="963" spans="1:18" x14ac:dyDescent="0.25">
      <c r="A963" t="s">
        <v>1851</v>
      </c>
      <c r="B963" s="7">
        <v>44158</v>
      </c>
      <c r="C963" t="str">
        <f>TEXT(Table3[[#This Row],[Order Date]],"yyyy")</f>
        <v>2020</v>
      </c>
      <c r="D963" t="s">
        <v>6239</v>
      </c>
      <c r="E963" t="s">
        <v>1852</v>
      </c>
      <c r="F963" t="s">
        <v>124</v>
      </c>
      <c r="G963">
        <v>2</v>
      </c>
      <c r="H963" t="s">
        <v>6026</v>
      </c>
      <c r="I963" t="s">
        <v>6210</v>
      </c>
      <c r="J963" t="s">
        <v>2876</v>
      </c>
      <c r="K963" t="s">
        <v>1938</v>
      </c>
      <c r="L963" t="s">
        <v>6213</v>
      </c>
      <c r="M963" t="s">
        <v>6195</v>
      </c>
      <c r="N963">
        <v>2.5</v>
      </c>
      <c r="O963">
        <v>22.884999999999998</v>
      </c>
      <c r="P963">
        <v>0.91539999999999988</v>
      </c>
      <c r="Q963">
        <v>2.0596499999999995</v>
      </c>
      <c r="R963" s="5">
        <v>45.769999999999996</v>
      </c>
    </row>
    <row r="964" spans="1:18" x14ac:dyDescent="0.25">
      <c r="A964" t="s">
        <v>1853</v>
      </c>
      <c r="B964" s="7">
        <v>44664</v>
      </c>
      <c r="C964" t="str">
        <f>TEXT(Table3[[#This Row],[Order Date]],"yyyy")</f>
        <v>2022</v>
      </c>
      <c r="D964" t="s">
        <v>6236</v>
      </c>
      <c r="E964" t="s">
        <v>1854</v>
      </c>
      <c r="F964" t="s">
        <v>185</v>
      </c>
      <c r="G964">
        <v>1</v>
      </c>
      <c r="H964" t="s">
        <v>6029</v>
      </c>
      <c r="I964" t="s">
        <v>1945</v>
      </c>
      <c r="J964" t="s">
        <v>6033</v>
      </c>
      <c r="K964" t="s">
        <v>1938</v>
      </c>
      <c r="L964" t="s">
        <v>6211</v>
      </c>
      <c r="M964" t="s">
        <v>6195</v>
      </c>
      <c r="N964">
        <v>1</v>
      </c>
      <c r="O964">
        <v>8.9499999999999993</v>
      </c>
      <c r="P964">
        <v>0.89499999999999991</v>
      </c>
      <c r="Q964">
        <v>0.53699999999999992</v>
      </c>
      <c r="R964" s="5">
        <v>8.9499999999999993</v>
      </c>
    </row>
    <row r="965" spans="1:18" x14ac:dyDescent="0.25">
      <c r="A965" t="s">
        <v>1855</v>
      </c>
      <c r="B965" s="7">
        <v>44203</v>
      </c>
      <c r="C965" t="str">
        <f>TEXT(Table3[[#This Row],[Order Date]],"yyyy")</f>
        <v>2021</v>
      </c>
      <c r="D965" t="s">
        <v>6232</v>
      </c>
      <c r="E965" t="s">
        <v>1856</v>
      </c>
      <c r="F965" t="s">
        <v>28</v>
      </c>
      <c r="G965">
        <v>4</v>
      </c>
      <c r="H965" t="s">
        <v>6034</v>
      </c>
      <c r="I965" t="s">
        <v>6210</v>
      </c>
      <c r="J965" t="s">
        <v>3315</v>
      </c>
      <c r="K965" t="s">
        <v>1938</v>
      </c>
      <c r="L965" t="s">
        <v>6211</v>
      </c>
      <c r="M965" t="s">
        <v>6193</v>
      </c>
      <c r="N965">
        <v>0.5</v>
      </c>
      <c r="O965">
        <v>5.97</v>
      </c>
      <c r="P965">
        <v>1.194</v>
      </c>
      <c r="Q965">
        <v>0.35819999999999996</v>
      </c>
      <c r="R965" s="5">
        <v>23.88</v>
      </c>
    </row>
    <row r="966" spans="1:18" x14ac:dyDescent="0.25">
      <c r="A966" t="s">
        <v>1857</v>
      </c>
      <c r="B966" s="7">
        <v>43865</v>
      </c>
      <c r="C966" t="str">
        <f>TEXT(Table3[[#This Row],[Order Date]],"yyyy")</f>
        <v>2020</v>
      </c>
      <c r="D966" t="s">
        <v>6238</v>
      </c>
      <c r="E966" t="s">
        <v>1858</v>
      </c>
      <c r="F966" t="s">
        <v>260</v>
      </c>
      <c r="G966">
        <v>5</v>
      </c>
      <c r="H966" t="s">
        <v>6038</v>
      </c>
      <c r="I966" t="s">
        <v>6210</v>
      </c>
      <c r="J966" t="s">
        <v>3780</v>
      </c>
      <c r="K966" t="s">
        <v>1947</v>
      </c>
      <c r="L966" t="s">
        <v>6212</v>
      </c>
      <c r="M966" t="s">
        <v>6215</v>
      </c>
      <c r="N966">
        <v>0.2</v>
      </c>
      <c r="O966">
        <v>4.4550000000000001</v>
      </c>
      <c r="P966">
        <v>2.2275</v>
      </c>
      <c r="Q966">
        <v>0.49004999999999999</v>
      </c>
      <c r="R966" s="5">
        <v>22.274999999999999</v>
      </c>
    </row>
    <row r="967" spans="1:18" x14ac:dyDescent="0.25">
      <c r="A967" t="s">
        <v>1859</v>
      </c>
      <c r="B967" s="7">
        <v>43724</v>
      </c>
      <c r="C967" t="str">
        <f>TEXT(Table3[[#This Row],[Order Date]],"yyyy")</f>
        <v>2019</v>
      </c>
      <c r="D967" t="s">
        <v>6228</v>
      </c>
      <c r="E967" t="s">
        <v>1860</v>
      </c>
      <c r="F967" t="s">
        <v>8</v>
      </c>
      <c r="G967">
        <v>3</v>
      </c>
      <c r="H967" t="s">
        <v>6042</v>
      </c>
      <c r="I967" t="s">
        <v>6210</v>
      </c>
      <c r="J967" t="s">
        <v>1982</v>
      </c>
      <c r="K967" t="s">
        <v>1938</v>
      </c>
      <c r="L967" t="s">
        <v>6211</v>
      </c>
      <c r="M967" t="s">
        <v>6193</v>
      </c>
      <c r="N967">
        <v>1</v>
      </c>
      <c r="O967">
        <v>9.9499999999999993</v>
      </c>
      <c r="P967">
        <v>0.99499999999999988</v>
      </c>
      <c r="Q967">
        <v>0.59699999999999998</v>
      </c>
      <c r="R967" s="5">
        <v>29.849999999999998</v>
      </c>
    </row>
    <row r="968" spans="1:18" x14ac:dyDescent="0.25">
      <c r="A968" t="s">
        <v>1861</v>
      </c>
      <c r="B968" s="7">
        <v>43491</v>
      </c>
      <c r="C968" t="str">
        <f>TEXT(Table3[[#This Row],[Order Date]],"yyyy")</f>
        <v>2019</v>
      </c>
      <c r="D968" t="s">
        <v>6232</v>
      </c>
      <c r="E968" t="s">
        <v>1862</v>
      </c>
      <c r="F968" t="s">
        <v>182</v>
      </c>
      <c r="G968">
        <v>6</v>
      </c>
      <c r="H968" t="s">
        <v>6045</v>
      </c>
      <c r="I968" t="s">
        <v>6210</v>
      </c>
      <c r="J968" t="s">
        <v>2771</v>
      </c>
      <c r="K968" t="s">
        <v>1938</v>
      </c>
      <c r="L968" t="s">
        <v>6212</v>
      </c>
      <c r="M968" t="s">
        <v>6215</v>
      </c>
      <c r="N968">
        <v>0.5</v>
      </c>
      <c r="O968">
        <v>8.91</v>
      </c>
      <c r="P968">
        <v>1.782</v>
      </c>
      <c r="Q968">
        <v>0.98009999999999997</v>
      </c>
      <c r="R968" s="5">
        <v>53.46</v>
      </c>
    </row>
    <row r="969" spans="1:18" x14ac:dyDescent="0.25">
      <c r="A969" t="s">
        <v>1863</v>
      </c>
      <c r="B969" s="7">
        <v>44246</v>
      </c>
      <c r="C969" t="str">
        <f>TEXT(Table3[[#This Row],[Order Date]],"yyyy")</f>
        <v>2021</v>
      </c>
      <c r="D969" t="s">
        <v>6238</v>
      </c>
      <c r="E969" t="s">
        <v>1864</v>
      </c>
      <c r="F969" t="s">
        <v>107</v>
      </c>
      <c r="G969">
        <v>1</v>
      </c>
      <c r="H969" t="s">
        <v>6049</v>
      </c>
      <c r="I969" t="s">
        <v>1945</v>
      </c>
      <c r="J969" t="s">
        <v>6053</v>
      </c>
      <c r="K969" t="s">
        <v>1938</v>
      </c>
      <c r="L969" t="s">
        <v>6211</v>
      </c>
      <c r="M969" t="s">
        <v>6195</v>
      </c>
      <c r="N969">
        <v>0.2</v>
      </c>
      <c r="O969">
        <v>2.6849999999999996</v>
      </c>
      <c r="P969">
        <v>1.3424999999999998</v>
      </c>
      <c r="Q969">
        <v>0.16109999999999997</v>
      </c>
      <c r="R969" s="5">
        <v>2.6849999999999996</v>
      </c>
    </row>
    <row r="970" spans="1:18" x14ac:dyDescent="0.25">
      <c r="A970" t="s">
        <v>1865</v>
      </c>
      <c r="B970" s="7">
        <v>44642</v>
      </c>
      <c r="C970" t="str">
        <f>TEXT(Table3[[#This Row],[Order Date]],"yyyy")</f>
        <v>2022</v>
      </c>
      <c r="D970" t="s">
        <v>6234</v>
      </c>
      <c r="E970" t="s">
        <v>1866</v>
      </c>
      <c r="F970" t="s">
        <v>168</v>
      </c>
      <c r="G970">
        <v>2</v>
      </c>
      <c r="H970" t="s">
        <v>6054</v>
      </c>
      <c r="I970" t="s">
        <v>6210</v>
      </c>
      <c r="J970" t="s">
        <v>6058</v>
      </c>
      <c r="K970" t="s">
        <v>1947</v>
      </c>
      <c r="L970" t="s">
        <v>6211</v>
      </c>
      <c r="M970" t="s">
        <v>6193</v>
      </c>
      <c r="N970">
        <v>0.2</v>
      </c>
      <c r="O970">
        <v>2.9849999999999999</v>
      </c>
      <c r="P970">
        <v>1.4924999999999999</v>
      </c>
      <c r="Q970">
        <v>0.17909999999999998</v>
      </c>
      <c r="R970" s="5">
        <v>5.97</v>
      </c>
    </row>
    <row r="971" spans="1:18" x14ac:dyDescent="0.25">
      <c r="A971" t="s">
        <v>1867</v>
      </c>
      <c r="B971" s="7">
        <v>43649</v>
      </c>
      <c r="C971" t="str">
        <f>TEXT(Table3[[#This Row],[Order Date]],"yyyy")</f>
        <v>2019</v>
      </c>
      <c r="D971" t="s">
        <v>6230</v>
      </c>
      <c r="E971" t="s">
        <v>1868</v>
      </c>
      <c r="F971" t="s">
        <v>19</v>
      </c>
      <c r="G971">
        <v>1</v>
      </c>
      <c r="H971" t="s">
        <v>6059</v>
      </c>
      <c r="I971" t="s">
        <v>6210</v>
      </c>
      <c r="J971" t="s">
        <v>2709</v>
      </c>
      <c r="K971" t="s">
        <v>1938</v>
      </c>
      <c r="L971" t="s">
        <v>6199</v>
      </c>
      <c r="M971" t="s">
        <v>6195</v>
      </c>
      <c r="N971">
        <v>1</v>
      </c>
      <c r="O971">
        <v>12.95</v>
      </c>
      <c r="P971">
        <v>1.2949999999999999</v>
      </c>
      <c r="Q971">
        <v>1.6835</v>
      </c>
      <c r="R971" s="5">
        <v>12.95</v>
      </c>
    </row>
    <row r="972" spans="1:18" x14ac:dyDescent="0.25">
      <c r="A972" t="s">
        <v>1869</v>
      </c>
      <c r="B972" s="7">
        <v>43729</v>
      </c>
      <c r="C972" t="str">
        <f>TEXT(Table3[[#This Row],[Order Date]],"yyyy")</f>
        <v>2019</v>
      </c>
      <c r="D972" t="s">
        <v>6228</v>
      </c>
      <c r="E972" t="s">
        <v>1870</v>
      </c>
      <c r="F972" t="s">
        <v>9</v>
      </c>
      <c r="G972">
        <v>1</v>
      </c>
      <c r="H972" t="s">
        <v>6063</v>
      </c>
      <c r="I972" t="s">
        <v>6210</v>
      </c>
      <c r="J972" t="s">
        <v>4407</v>
      </c>
      <c r="K972" t="s">
        <v>1947</v>
      </c>
      <c r="L972" t="s">
        <v>6212</v>
      </c>
      <c r="M972" t="s">
        <v>6193</v>
      </c>
      <c r="N972">
        <v>0.5</v>
      </c>
      <c r="O972">
        <v>8.25</v>
      </c>
      <c r="P972">
        <v>1.65</v>
      </c>
      <c r="Q972">
        <v>0.90749999999999997</v>
      </c>
      <c r="R972" s="5">
        <v>8.25</v>
      </c>
    </row>
    <row r="973" spans="1:18" x14ac:dyDescent="0.25">
      <c r="A973" t="s">
        <v>1871</v>
      </c>
      <c r="B973" s="7">
        <v>43703</v>
      </c>
      <c r="C973" t="str">
        <f>TEXT(Table3[[#This Row],[Order Date]],"yyyy")</f>
        <v>2019</v>
      </c>
      <c r="D973" t="s">
        <v>6231</v>
      </c>
      <c r="E973" t="s">
        <v>1872</v>
      </c>
      <c r="F973" t="s">
        <v>210</v>
      </c>
      <c r="G973">
        <v>5</v>
      </c>
      <c r="H973" t="s">
        <v>6066</v>
      </c>
      <c r="I973" t="s">
        <v>6210</v>
      </c>
      <c r="J973" t="s">
        <v>2262</v>
      </c>
      <c r="K973" t="s">
        <v>1947</v>
      </c>
      <c r="L973" t="s">
        <v>6213</v>
      </c>
      <c r="M973" t="s">
        <v>6215</v>
      </c>
      <c r="N973">
        <v>2.5</v>
      </c>
      <c r="O973">
        <v>29.784999999999997</v>
      </c>
      <c r="P973">
        <v>1.1913999999999998</v>
      </c>
      <c r="Q973">
        <v>2.6806499999999995</v>
      </c>
      <c r="R973" s="5">
        <v>148.92499999999998</v>
      </c>
    </row>
    <row r="974" spans="1:18" x14ac:dyDescent="0.25">
      <c r="A974" t="s">
        <v>1873</v>
      </c>
      <c r="B974" s="7">
        <v>44411</v>
      </c>
      <c r="C974" t="str">
        <f>TEXT(Table3[[#This Row],[Order Date]],"yyyy")</f>
        <v>2021</v>
      </c>
      <c r="D974" t="s">
        <v>6231</v>
      </c>
      <c r="E974" t="s">
        <v>1874</v>
      </c>
      <c r="F974" t="s">
        <v>210</v>
      </c>
      <c r="G974">
        <v>3</v>
      </c>
      <c r="H974" t="s">
        <v>6070</v>
      </c>
      <c r="I974" t="s">
        <v>1945</v>
      </c>
      <c r="J974" t="s">
        <v>5085</v>
      </c>
      <c r="K974" t="s">
        <v>1938</v>
      </c>
      <c r="L974" t="s">
        <v>6213</v>
      </c>
      <c r="M974" t="s">
        <v>6215</v>
      </c>
      <c r="N974">
        <v>2.5</v>
      </c>
      <c r="O974">
        <v>29.784999999999997</v>
      </c>
      <c r="P974">
        <v>1.1913999999999998</v>
      </c>
      <c r="Q974">
        <v>2.6806499999999995</v>
      </c>
      <c r="R974" s="5">
        <v>89.35499999999999</v>
      </c>
    </row>
    <row r="975" spans="1:18" x14ac:dyDescent="0.25">
      <c r="A975" t="s">
        <v>1875</v>
      </c>
      <c r="B975" s="7">
        <v>44493</v>
      </c>
      <c r="C975" t="str">
        <f>TEXT(Table3[[#This Row],[Order Date]],"yyyy")</f>
        <v>2021</v>
      </c>
      <c r="D975" t="s">
        <v>6235</v>
      </c>
      <c r="E975" t="s">
        <v>1876</v>
      </c>
      <c r="F975" t="s">
        <v>102</v>
      </c>
      <c r="G975">
        <v>6</v>
      </c>
      <c r="H975" t="s">
        <v>6073</v>
      </c>
      <c r="I975" t="s">
        <v>6210</v>
      </c>
      <c r="J975" t="s">
        <v>2221</v>
      </c>
      <c r="K975" t="s">
        <v>1947</v>
      </c>
      <c r="L975" t="s">
        <v>6199</v>
      </c>
      <c r="M975" t="s">
        <v>6193</v>
      </c>
      <c r="N975">
        <v>1</v>
      </c>
      <c r="O975">
        <v>14.55</v>
      </c>
      <c r="P975">
        <v>1.4550000000000001</v>
      </c>
      <c r="Q975">
        <v>1.8915000000000002</v>
      </c>
      <c r="R975" s="5">
        <v>87.300000000000011</v>
      </c>
    </row>
    <row r="976" spans="1:18" x14ac:dyDescent="0.25">
      <c r="A976" t="s">
        <v>1877</v>
      </c>
      <c r="B976" s="7">
        <v>43556</v>
      </c>
      <c r="C976" t="str">
        <f>TEXT(Table3[[#This Row],[Order Date]],"yyyy")</f>
        <v>2019</v>
      </c>
      <c r="D976" t="s">
        <v>6236</v>
      </c>
      <c r="E976" t="s">
        <v>1878</v>
      </c>
      <c r="F976" t="s">
        <v>152</v>
      </c>
      <c r="G976">
        <v>1</v>
      </c>
      <c r="H976" t="s">
        <v>6077</v>
      </c>
      <c r="I976" t="s">
        <v>6210</v>
      </c>
      <c r="J976" t="s">
        <v>3143</v>
      </c>
      <c r="K976" t="s">
        <v>1938</v>
      </c>
      <c r="L976" t="s">
        <v>6211</v>
      </c>
      <c r="M976" t="s">
        <v>6195</v>
      </c>
      <c r="N976">
        <v>0.5</v>
      </c>
      <c r="O976">
        <v>5.3699999999999992</v>
      </c>
      <c r="P976">
        <v>1.0739999999999998</v>
      </c>
      <c r="Q976">
        <v>0.32219999999999993</v>
      </c>
      <c r="R976" s="5">
        <v>5.3699999999999992</v>
      </c>
    </row>
    <row r="977" spans="1:18" x14ac:dyDescent="0.25">
      <c r="A977" t="s">
        <v>1879</v>
      </c>
      <c r="B977" s="7">
        <v>44538</v>
      </c>
      <c r="C977" t="str">
        <f>TEXT(Table3[[#This Row],[Order Date]],"yyyy")</f>
        <v>2021</v>
      </c>
      <c r="D977" t="s">
        <v>6237</v>
      </c>
      <c r="E977" t="s">
        <v>1880</v>
      </c>
      <c r="F977" t="s">
        <v>60</v>
      </c>
      <c r="G977">
        <v>3</v>
      </c>
      <c r="H977" t="s">
        <v>6081</v>
      </c>
      <c r="I977" t="s">
        <v>1945</v>
      </c>
      <c r="J977" t="s">
        <v>6085</v>
      </c>
      <c r="K977" t="s">
        <v>1938</v>
      </c>
      <c r="L977" t="s">
        <v>6213</v>
      </c>
      <c r="M977" t="s">
        <v>6195</v>
      </c>
      <c r="N977">
        <v>0.2</v>
      </c>
      <c r="O977">
        <v>2.9849999999999999</v>
      </c>
      <c r="P977">
        <v>1.4924999999999999</v>
      </c>
      <c r="Q977">
        <v>0.26865</v>
      </c>
      <c r="R977" s="5">
        <v>8.9550000000000001</v>
      </c>
    </row>
    <row r="978" spans="1:18" x14ac:dyDescent="0.25">
      <c r="A978" t="s">
        <v>1881</v>
      </c>
      <c r="B978" s="7">
        <v>43643</v>
      </c>
      <c r="C978" t="str">
        <f>TEXT(Table3[[#This Row],[Order Date]],"yyyy")</f>
        <v>2019</v>
      </c>
      <c r="D978" t="s">
        <v>6229</v>
      </c>
      <c r="E978" t="s">
        <v>1882</v>
      </c>
      <c r="F978" t="s">
        <v>16</v>
      </c>
      <c r="G978">
        <v>5</v>
      </c>
      <c r="H978" t="s">
        <v>6086</v>
      </c>
      <c r="I978" t="s">
        <v>6210</v>
      </c>
      <c r="J978" t="s">
        <v>2234</v>
      </c>
      <c r="K978" t="s">
        <v>1938</v>
      </c>
      <c r="L978" t="s">
        <v>6211</v>
      </c>
      <c r="M978" t="s">
        <v>6215</v>
      </c>
      <c r="N978">
        <v>2.5</v>
      </c>
      <c r="O978">
        <v>27.484999999999996</v>
      </c>
      <c r="P978">
        <v>1.0993999999999999</v>
      </c>
      <c r="Q978">
        <v>1.6490999999999998</v>
      </c>
      <c r="R978" s="5">
        <v>137.42499999999998</v>
      </c>
    </row>
    <row r="979" spans="1:18" x14ac:dyDescent="0.25">
      <c r="A979" t="s">
        <v>1883</v>
      </c>
      <c r="B979" s="7">
        <v>44026</v>
      </c>
      <c r="C979" t="str">
        <f>TEXT(Table3[[#This Row],[Order Date]],"yyyy")</f>
        <v>2020</v>
      </c>
      <c r="D979" t="s">
        <v>6230</v>
      </c>
      <c r="E979" t="s">
        <v>1884</v>
      </c>
      <c r="F979" t="s">
        <v>195</v>
      </c>
      <c r="G979">
        <v>5</v>
      </c>
      <c r="H979" t="s">
        <v>6090</v>
      </c>
      <c r="I979" t="s">
        <v>6210</v>
      </c>
      <c r="J979" t="s">
        <v>4407</v>
      </c>
      <c r="K979" t="s">
        <v>1947</v>
      </c>
      <c r="L979" t="s">
        <v>6211</v>
      </c>
      <c r="M979" t="s">
        <v>6215</v>
      </c>
      <c r="N979">
        <v>1</v>
      </c>
      <c r="O979">
        <v>11.95</v>
      </c>
      <c r="P979">
        <v>1.1949999999999998</v>
      </c>
      <c r="Q979">
        <v>0.71699999999999997</v>
      </c>
      <c r="R979" s="5">
        <v>59.75</v>
      </c>
    </row>
    <row r="980" spans="1:18" x14ac:dyDescent="0.25">
      <c r="A980" t="s">
        <v>1885</v>
      </c>
      <c r="B980" s="7">
        <v>43913</v>
      </c>
      <c r="C980" t="str">
        <f>TEXT(Table3[[#This Row],[Order Date]],"yyyy")</f>
        <v>2020</v>
      </c>
      <c r="D980" t="s">
        <v>6234</v>
      </c>
      <c r="E980" t="s">
        <v>1876</v>
      </c>
      <c r="F980" t="s">
        <v>198</v>
      </c>
      <c r="G980">
        <v>3</v>
      </c>
      <c r="H980" t="s">
        <v>6073</v>
      </c>
      <c r="I980" t="s">
        <v>6210</v>
      </c>
      <c r="J980" t="s">
        <v>2221</v>
      </c>
      <c r="K980" t="s">
        <v>1947</v>
      </c>
      <c r="L980" t="s">
        <v>6213</v>
      </c>
      <c r="M980" t="s">
        <v>6215</v>
      </c>
      <c r="N980">
        <v>0.5</v>
      </c>
      <c r="O980">
        <v>7.77</v>
      </c>
      <c r="P980">
        <v>1.5539999999999998</v>
      </c>
      <c r="Q980">
        <v>0.69929999999999992</v>
      </c>
      <c r="R980" s="5">
        <v>23.31</v>
      </c>
    </row>
    <row r="981" spans="1:18" x14ac:dyDescent="0.25">
      <c r="A981" t="s">
        <v>1886</v>
      </c>
      <c r="B981" s="7">
        <v>43856</v>
      </c>
      <c r="C981" t="str">
        <f>TEXT(Table3[[#This Row],[Order Date]],"yyyy")</f>
        <v>2020</v>
      </c>
      <c r="D981" t="s">
        <v>6232</v>
      </c>
      <c r="E981" t="s">
        <v>1887</v>
      </c>
      <c r="F981" t="s">
        <v>152</v>
      </c>
      <c r="G981">
        <v>2</v>
      </c>
      <c r="H981" t="s">
        <v>6099</v>
      </c>
      <c r="I981" t="s">
        <v>6210</v>
      </c>
      <c r="J981" t="s">
        <v>6102</v>
      </c>
      <c r="K981" t="s">
        <v>1947</v>
      </c>
      <c r="L981" t="s">
        <v>6211</v>
      </c>
      <c r="M981" t="s">
        <v>6195</v>
      </c>
      <c r="N981">
        <v>0.5</v>
      </c>
      <c r="O981">
        <v>5.3699999999999992</v>
      </c>
      <c r="P981">
        <v>1.0739999999999998</v>
      </c>
      <c r="Q981">
        <v>0.32219999999999993</v>
      </c>
      <c r="R981" s="5">
        <v>10.739999999999998</v>
      </c>
    </row>
    <row r="982" spans="1:18" x14ac:dyDescent="0.25">
      <c r="A982" t="s">
        <v>1888</v>
      </c>
      <c r="B982" s="7">
        <v>43982</v>
      </c>
      <c r="C982" t="str">
        <f>TEXT(Table3[[#This Row],[Order Date]],"yyyy")</f>
        <v>2020</v>
      </c>
      <c r="D982" t="s">
        <v>6233</v>
      </c>
      <c r="E982" t="s">
        <v>1889</v>
      </c>
      <c r="F982" t="s">
        <v>536</v>
      </c>
      <c r="G982">
        <v>6</v>
      </c>
      <c r="H982" t="s">
        <v>6103</v>
      </c>
      <c r="I982" t="s">
        <v>6210</v>
      </c>
      <c r="J982" t="s">
        <v>3818</v>
      </c>
      <c r="K982" t="s">
        <v>1938</v>
      </c>
      <c r="L982" t="s">
        <v>6212</v>
      </c>
      <c r="M982" t="s">
        <v>6195</v>
      </c>
      <c r="N982">
        <v>2.5</v>
      </c>
      <c r="O982">
        <v>27.945</v>
      </c>
      <c r="P982">
        <v>1.1177999999999999</v>
      </c>
      <c r="Q982">
        <v>3.07395</v>
      </c>
      <c r="R982" s="5">
        <v>167.67000000000002</v>
      </c>
    </row>
    <row r="983" spans="1:18" x14ac:dyDescent="0.25">
      <c r="A983" t="s">
        <v>1890</v>
      </c>
      <c r="B983" s="7">
        <v>44397</v>
      </c>
      <c r="C983" t="str">
        <f>TEXT(Table3[[#This Row],[Order Date]],"yyyy")</f>
        <v>2021</v>
      </c>
      <c r="D983" t="s">
        <v>6230</v>
      </c>
      <c r="E983" t="s">
        <v>1891</v>
      </c>
      <c r="F983" t="s">
        <v>57</v>
      </c>
      <c r="G983">
        <v>6</v>
      </c>
      <c r="H983" t="s">
        <v>6106</v>
      </c>
      <c r="I983" t="s">
        <v>6210</v>
      </c>
      <c r="J983" t="s">
        <v>6110</v>
      </c>
      <c r="K983" t="s">
        <v>1938</v>
      </c>
      <c r="L983" t="s">
        <v>6212</v>
      </c>
      <c r="M983" t="s">
        <v>6195</v>
      </c>
      <c r="N983">
        <v>0.2</v>
      </c>
      <c r="O983">
        <v>3.645</v>
      </c>
      <c r="P983">
        <v>1.8225</v>
      </c>
      <c r="Q983">
        <v>0.40095000000000003</v>
      </c>
      <c r="R983" s="5">
        <v>21.87</v>
      </c>
    </row>
    <row r="984" spans="1:18" x14ac:dyDescent="0.25">
      <c r="A984" t="s">
        <v>1892</v>
      </c>
      <c r="B984" s="7">
        <v>44785</v>
      </c>
      <c r="C984" t="str">
        <f>TEXT(Table3[[#This Row],[Order Date]],"yyyy")</f>
        <v>2022</v>
      </c>
      <c r="D984" t="s">
        <v>6231</v>
      </c>
      <c r="E984" t="s">
        <v>1893</v>
      </c>
      <c r="F984" t="s">
        <v>195</v>
      </c>
      <c r="G984">
        <v>2</v>
      </c>
      <c r="H984" t="s">
        <v>6111</v>
      </c>
      <c r="I984" t="s">
        <v>6210</v>
      </c>
      <c r="J984" t="s">
        <v>3174</v>
      </c>
      <c r="K984" t="s">
        <v>1938</v>
      </c>
      <c r="L984" t="s">
        <v>6211</v>
      </c>
      <c r="M984" t="s">
        <v>6215</v>
      </c>
      <c r="N984">
        <v>1</v>
      </c>
      <c r="O984">
        <v>11.95</v>
      </c>
      <c r="P984">
        <v>1.1949999999999998</v>
      </c>
      <c r="Q984">
        <v>0.71699999999999997</v>
      </c>
      <c r="R984" s="5">
        <v>23.9</v>
      </c>
    </row>
    <row r="985" spans="1:18" x14ac:dyDescent="0.25">
      <c r="A985" t="s">
        <v>1894</v>
      </c>
      <c r="B985" s="7">
        <v>43831</v>
      </c>
      <c r="C985" t="str">
        <f>TEXT(Table3[[#This Row],[Order Date]],"yyyy")</f>
        <v>2020</v>
      </c>
      <c r="D985" t="s">
        <v>6232</v>
      </c>
      <c r="E985" t="s">
        <v>1895</v>
      </c>
      <c r="F985" t="s">
        <v>50</v>
      </c>
      <c r="G985">
        <v>2</v>
      </c>
      <c r="H985" t="s">
        <v>6115</v>
      </c>
      <c r="I985" t="s">
        <v>6210</v>
      </c>
      <c r="J985" t="s">
        <v>2283</v>
      </c>
      <c r="K985" t="s">
        <v>1938</v>
      </c>
      <c r="L985" t="s">
        <v>6213</v>
      </c>
      <c r="M985" t="s">
        <v>6193</v>
      </c>
      <c r="N985">
        <v>0.2</v>
      </c>
      <c r="O985">
        <v>3.375</v>
      </c>
      <c r="P985">
        <v>1.6875</v>
      </c>
      <c r="Q985">
        <v>0.30374999999999996</v>
      </c>
      <c r="R985" s="5">
        <v>6.75</v>
      </c>
    </row>
    <row r="986" spans="1:18" x14ac:dyDescent="0.25">
      <c r="A986" t="s">
        <v>1896</v>
      </c>
      <c r="B986" s="7">
        <v>44214</v>
      </c>
      <c r="C986" t="str">
        <f>TEXT(Table3[[#This Row],[Order Date]],"yyyy")</f>
        <v>2021</v>
      </c>
      <c r="D986" t="s">
        <v>6232</v>
      </c>
      <c r="E986" t="s">
        <v>1897</v>
      </c>
      <c r="F986" t="s">
        <v>118</v>
      </c>
      <c r="G986">
        <v>1</v>
      </c>
      <c r="H986" t="s">
        <v>6119</v>
      </c>
      <c r="I986" t="s">
        <v>1945</v>
      </c>
      <c r="J986" t="s">
        <v>6122</v>
      </c>
      <c r="K986" t="s">
        <v>1938</v>
      </c>
      <c r="L986" t="s">
        <v>6212</v>
      </c>
      <c r="M986" t="s">
        <v>6193</v>
      </c>
      <c r="N986">
        <v>2.5</v>
      </c>
      <c r="O986">
        <v>31.624999999999996</v>
      </c>
      <c r="P986">
        <v>1.2649999999999999</v>
      </c>
      <c r="Q986">
        <v>3.4787499999999998</v>
      </c>
      <c r="R986" s="5">
        <v>31.624999999999996</v>
      </c>
    </row>
    <row r="987" spans="1:18" x14ac:dyDescent="0.25">
      <c r="A987" t="s">
        <v>1898</v>
      </c>
      <c r="B987" s="7">
        <v>44561</v>
      </c>
      <c r="C987" t="str">
        <f>TEXT(Table3[[#This Row],[Order Date]],"yyyy")</f>
        <v>2021</v>
      </c>
      <c r="D987" t="s">
        <v>6237</v>
      </c>
      <c r="E987" t="s">
        <v>1899</v>
      </c>
      <c r="F987" t="s">
        <v>195</v>
      </c>
      <c r="G987">
        <v>4</v>
      </c>
      <c r="H987" t="s">
        <v>6123</v>
      </c>
      <c r="I987" t="s">
        <v>6210</v>
      </c>
      <c r="J987" t="s">
        <v>2089</v>
      </c>
      <c r="K987" t="s">
        <v>1947</v>
      </c>
      <c r="L987" t="s">
        <v>6211</v>
      </c>
      <c r="M987" t="s">
        <v>6215</v>
      </c>
      <c r="N987">
        <v>1</v>
      </c>
      <c r="O987">
        <v>11.95</v>
      </c>
      <c r="P987">
        <v>1.1949999999999998</v>
      </c>
      <c r="Q987">
        <v>0.71699999999999997</v>
      </c>
      <c r="R987" s="5">
        <v>47.8</v>
      </c>
    </row>
    <row r="988" spans="1:18" x14ac:dyDescent="0.25">
      <c r="A988" t="s">
        <v>1900</v>
      </c>
      <c r="B988" s="7">
        <v>43955</v>
      </c>
      <c r="C988" t="str">
        <f>TEXT(Table3[[#This Row],[Order Date]],"yyyy")</f>
        <v>2020</v>
      </c>
      <c r="D988" t="s">
        <v>6233</v>
      </c>
      <c r="E988" t="s">
        <v>1901</v>
      </c>
      <c r="F988" t="s">
        <v>203</v>
      </c>
      <c r="G988">
        <v>1</v>
      </c>
      <c r="H988" t="s">
        <v>6127</v>
      </c>
      <c r="I988" t="s">
        <v>6210</v>
      </c>
      <c r="J988" t="s">
        <v>6131</v>
      </c>
      <c r="K988" t="s">
        <v>1947</v>
      </c>
      <c r="L988" t="s">
        <v>6199</v>
      </c>
      <c r="M988" t="s">
        <v>6193</v>
      </c>
      <c r="N988">
        <v>2.5</v>
      </c>
      <c r="O988">
        <v>33.464999999999996</v>
      </c>
      <c r="P988">
        <v>1.3385999999999998</v>
      </c>
      <c r="Q988">
        <v>4.3504499999999995</v>
      </c>
      <c r="R988" s="5">
        <v>33.464999999999996</v>
      </c>
    </row>
    <row r="989" spans="1:18" x14ac:dyDescent="0.25">
      <c r="A989" t="s">
        <v>1902</v>
      </c>
      <c r="B989" s="7">
        <v>44247</v>
      </c>
      <c r="C989" t="str">
        <f>TEXT(Table3[[#This Row],[Order Date]],"yyyy")</f>
        <v>2021</v>
      </c>
      <c r="D989" t="s">
        <v>6238</v>
      </c>
      <c r="E989" t="s">
        <v>1903</v>
      </c>
      <c r="F989" t="s">
        <v>78</v>
      </c>
      <c r="G989">
        <v>5</v>
      </c>
      <c r="H989" t="s">
        <v>6132</v>
      </c>
      <c r="I989" t="s">
        <v>2112</v>
      </c>
      <c r="J989" t="s">
        <v>4079</v>
      </c>
      <c r="K989" t="s">
        <v>1938</v>
      </c>
      <c r="L989" t="s">
        <v>6213</v>
      </c>
      <c r="M989" t="s">
        <v>6195</v>
      </c>
      <c r="N989">
        <v>0.5</v>
      </c>
      <c r="O989">
        <v>5.97</v>
      </c>
      <c r="P989">
        <v>1.194</v>
      </c>
      <c r="Q989">
        <v>0.5373</v>
      </c>
      <c r="R989" s="5">
        <v>29.849999999999998</v>
      </c>
    </row>
    <row r="990" spans="1:18" x14ac:dyDescent="0.25">
      <c r="A990" t="s">
        <v>1904</v>
      </c>
      <c r="B990" s="7">
        <v>43897</v>
      </c>
      <c r="C990" t="str">
        <f>TEXT(Table3[[#This Row],[Order Date]],"yyyy")</f>
        <v>2020</v>
      </c>
      <c r="D990" t="s">
        <v>6234</v>
      </c>
      <c r="E990" t="s">
        <v>1905</v>
      </c>
      <c r="F990" t="s">
        <v>8</v>
      </c>
      <c r="G990">
        <v>3</v>
      </c>
      <c r="H990" t="s">
        <v>6136</v>
      </c>
      <c r="I990" t="s">
        <v>2112</v>
      </c>
      <c r="J990" t="s">
        <v>6139</v>
      </c>
      <c r="K990" t="s">
        <v>1938</v>
      </c>
      <c r="L990" t="s">
        <v>6211</v>
      </c>
      <c r="M990" t="s">
        <v>6193</v>
      </c>
      <c r="N990">
        <v>1</v>
      </c>
      <c r="O990">
        <v>9.9499999999999993</v>
      </c>
      <c r="P990">
        <v>0.99499999999999988</v>
      </c>
      <c r="Q990">
        <v>0.59699999999999998</v>
      </c>
      <c r="R990" s="5">
        <v>29.849999999999998</v>
      </c>
    </row>
    <row r="991" spans="1:18" x14ac:dyDescent="0.25">
      <c r="A991" t="s">
        <v>1906</v>
      </c>
      <c r="B991" s="7">
        <v>43560</v>
      </c>
      <c r="C991" t="str">
        <f>TEXT(Table3[[#This Row],[Order Date]],"yyyy")</f>
        <v>2019</v>
      </c>
      <c r="D991" t="s">
        <v>6236</v>
      </c>
      <c r="E991" t="s">
        <v>1907</v>
      </c>
      <c r="F991" t="s">
        <v>177</v>
      </c>
      <c r="G991">
        <v>6</v>
      </c>
      <c r="H991" t="s">
        <v>6141</v>
      </c>
      <c r="I991" t="s">
        <v>6210</v>
      </c>
      <c r="J991" t="s">
        <v>2009</v>
      </c>
      <c r="K991" t="s">
        <v>1938</v>
      </c>
      <c r="L991" t="s">
        <v>6213</v>
      </c>
      <c r="M991" t="s">
        <v>6193</v>
      </c>
      <c r="N991">
        <v>2.5</v>
      </c>
      <c r="O991">
        <v>25.874999999999996</v>
      </c>
      <c r="P991">
        <v>1.0349999999999999</v>
      </c>
      <c r="Q991">
        <v>2.3287499999999994</v>
      </c>
      <c r="R991" s="5">
        <v>155.24999999999997</v>
      </c>
    </row>
    <row r="992" spans="1:18" x14ac:dyDescent="0.25">
      <c r="A992" t="s">
        <v>1908</v>
      </c>
      <c r="B992" s="7">
        <v>44718</v>
      </c>
      <c r="C992" t="str">
        <f>TEXT(Table3[[#This Row],[Order Date]],"yyyy")</f>
        <v>2022</v>
      </c>
      <c r="D992" t="s">
        <v>6229</v>
      </c>
      <c r="E992" t="s">
        <v>1909</v>
      </c>
      <c r="F992" t="s">
        <v>57</v>
      </c>
      <c r="G992">
        <v>5</v>
      </c>
      <c r="H992" t="s">
        <v>6167</v>
      </c>
      <c r="I992" t="s">
        <v>6210</v>
      </c>
      <c r="J992" t="s">
        <v>5023</v>
      </c>
      <c r="K992" t="s">
        <v>1947</v>
      </c>
      <c r="L992" t="s">
        <v>6212</v>
      </c>
      <c r="M992" t="s">
        <v>6195</v>
      </c>
      <c r="N992">
        <v>0.2</v>
      </c>
      <c r="O992">
        <v>3.645</v>
      </c>
      <c r="P992">
        <v>1.8225</v>
      </c>
      <c r="Q992">
        <v>0.40095000000000003</v>
      </c>
      <c r="R992" s="5">
        <v>18.225000000000001</v>
      </c>
    </row>
    <row r="993" spans="1:18" x14ac:dyDescent="0.25">
      <c r="A993" t="s">
        <v>1908</v>
      </c>
      <c r="B993" s="7">
        <v>44718</v>
      </c>
      <c r="C993" t="str">
        <f>TEXT(Table3[[#This Row],[Order Date]],"yyyy")</f>
        <v>2022</v>
      </c>
      <c r="D993" t="s">
        <v>6229</v>
      </c>
      <c r="E993" t="s">
        <v>1909</v>
      </c>
      <c r="F993" t="s">
        <v>129</v>
      </c>
      <c r="G993">
        <v>2</v>
      </c>
      <c r="H993" t="s">
        <v>6167</v>
      </c>
      <c r="I993" t="s">
        <v>6210</v>
      </c>
      <c r="J993" t="s">
        <v>5023</v>
      </c>
      <c r="K993" t="s">
        <v>1947</v>
      </c>
      <c r="L993" t="s">
        <v>6199</v>
      </c>
      <c r="M993" t="s">
        <v>6195</v>
      </c>
      <c r="N993">
        <v>0.5</v>
      </c>
      <c r="O993">
        <v>7.77</v>
      </c>
      <c r="P993">
        <v>1.5539999999999998</v>
      </c>
      <c r="Q993">
        <v>1.0101</v>
      </c>
      <c r="R993" s="5">
        <v>15.54</v>
      </c>
    </row>
    <row r="994" spans="1:18" x14ac:dyDescent="0.25">
      <c r="A994" t="s">
        <v>1910</v>
      </c>
      <c r="B994" s="7">
        <v>44276</v>
      </c>
      <c r="C994" t="str">
        <f>TEXT(Table3[[#This Row],[Order Date]],"yyyy")</f>
        <v>2021</v>
      </c>
      <c r="D994" t="s">
        <v>6234</v>
      </c>
      <c r="E994" t="s">
        <v>1911</v>
      </c>
      <c r="F994" t="s">
        <v>110</v>
      </c>
      <c r="G994">
        <v>3</v>
      </c>
      <c r="H994" t="s">
        <v>6154</v>
      </c>
      <c r="I994" t="s">
        <v>1945</v>
      </c>
      <c r="J994" t="s">
        <v>3962</v>
      </c>
      <c r="K994" t="s">
        <v>1947</v>
      </c>
      <c r="L994" t="s">
        <v>6199</v>
      </c>
      <c r="M994" t="s">
        <v>6215</v>
      </c>
      <c r="N994">
        <v>2.5</v>
      </c>
      <c r="O994">
        <v>36.454999999999998</v>
      </c>
      <c r="P994">
        <v>1.4581999999999999</v>
      </c>
      <c r="Q994">
        <v>4.7391499999999995</v>
      </c>
      <c r="R994" s="5">
        <v>109.36499999999999</v>
      </c>
    </row>
    <row r="995" spans="1:18" x14ac:dyDescent="0.25">
      <c r="A995" t="s">
        <v>1912</v>
      </c>
      <c r="B995" s="7">
        <v>44549</v>
      </c>
      <c r="C995" t="str">
        <f>TEXT(Table3[[#This Row],[Order Date]],"yyyy")</f>
        <v>2021</v>
      </c>
      <c r="D995" t="s">
        <v>6237</v>
      </c>
      <c r="E995" t="s">
        <v>1913</v>
      </c>
      <c r="F995" t="s">
        <v>12</v>
      </c>
      <c r="G995">
        <v>6</v>
      </c>
      <c r="H995" t="s">
        <v>6157</v>
      </c>
      <c r="I995" t="s">
        <v>6210</v>
      </c>
      <c r="J995" t="s">
        <v>2013</v>
      </c>
      <c r="K995" t="s">
        <v>1947</v>
      </c>
      <c r="L995" t="s">
        <v>6213</v>
      </c>
      <c r="M995" t="s">
        <v>6215</v>
      </c>
      <c r="N995">
        <v>1</v>
      </c>
      <c r="O995">
        <v>12.95</v>
      </c>
      <c r="P995">
        <v>1.2949999999999999</v>
      </c>
      <c r="Q995">
        <v>1.1655</v>
      </c>
      <c r="R995" s="5">
        <v>77.699999999999989</v>
      </c>
    </row>
    <row r="996" spans="1:18" x14ac:dyDescent="0.25">
      <c r="A996" t="s">
        <v>1914</v>
      </c>
      <c r="B996" s="7">
        <v>44244</v>
      </c>
      <c r="C996" t="str">
        <f>TEXT(Table3[[#This Row],[Order Date]],"yyyy")</f>
        <v>2021</v>
      </c>
      <c r="D996" t="s">
        <v>6238</v>
      </c>
      <c r="E996" t="s">
        <v>1915</v>
      </c>
      <c r="F996" t="s">
        <v>60</v>
      </c>
      <c r="G996">
        <v>3</v>
      </c>
      <c r="H996" t="s">
        <v>6160</v>
      </c>
      <c r="I996" t="s">
        <v>1945</v>
      </c>
      <c r="J996" t="s">
        <v>3907</v>
      </c>
      <c r="K996" t="s">
        <v>1947</v>
      </c>
      <c r="L996" t="s">
        <v>6213</v>
      </c>
      <c r="M996" t="s">
        <v>6195</v>
      </c>
      <c r="N996">
        <v>0.2</v>
      </c>
      <c r="O996">
        <v>2.9849999999999999</v>
      </c>
      <c r="P996">
        <v>1.4924999999999999</v>
      </c>
      <c r="Q996">
        <v>0.26865</v>
      </c>
      <c r="R996" s="5">
        <v>8.9550000000000001</v>
      </c>
    </row>
    <row r="997" spans="1:18" x14ac:dyDescent="0.25">
      <c r="A997" t="s">
        <v>1916</v>
      </c>
      <c r="B997" s="7">
        <v>43836</v>
      </c>
      <c r="C997" t="str">
        <f>TEXT(Table3[[#This Row],[Order Date]],"yyyy")</f>
        <v>2020</v>
      </c>
      <c r="D997" t="s">
        <v>6232</v>
      </c>
      <c r="E997" t="s">
        <v>1917</v>
      </c>
      <c r="F997" t="s">
        <v>16</v>
      </c>
      <c r="G997">
        <v>1</v>
      </c>
      <c r="H997" t="s">
        <v>6163</v>
      </c>
      <c r="I997" t="s">
        <v>6210</v>
      </c>
      <c r="J997" t="s">
        <v>2321</v>
      </c>
      <c r="K997" t="s">
        <v>1947</v>
      </c>
      <c r="L997" t="s">
        <v>6211</v>
      </c>
      <c r="M997" t="s">
        <v>6215</v>
      </c>
      <c r="N997">
        <v>2.5</v>
      </c>
      <c r="O997">
        <v>27.484999999999996</v>
      </c>
      <c r="P997">
        <v>1.0993999999999999</v>
      </c>
      <c r="Q997">
        <v>1.6490999999999998</v>
      </c>
      <c r="R997" s="5">
        <v>27.484999999999996</v>
      </c>
    </row>
    <row r="998" spans="1:18" x14ac:dyDescent="0.25">
      <c r="A998" t="s">
        <v>1918</v>
      </c>
      <c r="B998" s="7">
        <v>44685</v>
      </c>
      <c r="C998" t="str">
        <f>TEXT(Table3[[#This Row],[Order Date]],"yyyy")</f>
        <v>2022</v>
      </c>
      <c r="D998" t="s">
        <v>6233</v>
      </c>
      <c r="E998" t="s">
        <v>1909</v>
      </c>
      <c r="F998" t="s">
        <v>28</v>
      </c>
      <c r="G998">
        <v>5</v>
      </c>
      <c r="H998" t="s">
        <v>6167</v>
      </c>
      <c r="I998" t="s">
        <v>6210</v>
      </c>
      <c r="J998" t="s">
        <v>5023</v>
      </c>
      <c r="K998" t="s">
        <v>1947</v>
      </c>
      <c r="L998" t="s">
        <v>6211</v>
      </c>
      <c r="M998" t="s">
        <v>6193</v>
      </c>
      <c r="N998">
        <v>0.5</v>
      </c>
      <c r="O998">
        <v>5.97</v>
      </c>
      <c r="P998">
        <v>1.194</v>
      </c>
      <c r="Q998">
        <v>0.35819999999999996</v>
      </c>
      <c r="R998" s="5">
        <v>29.849999999999998</v>
      </c>
    </row>
    <row r="999" spans="1:18" x14ac:dyDescent="0.25">
      <c r="A999" t="s">
        <v>1919</v>
      </c>
      <c r="B999" s="7">
        <v>43749</v>
      </c>
      <c r="C999" t="str">
        <f>TEXT(Table3[[#This Row],[Order Date]],"yyyy")</f>
        <v>2019</v>
      </c>
      <c r="D999" t="s">
        <v>6235</v>
      </c>
      <c r="E999" t="s">
        <v>1909</v>
      </c>
      <c r="F999" t="s">
        <v>73</v>
      </c>
      <c r="G999">
        <v>4</v>
      </c>
      <c r="H999" t="s">
        <v>6167</v>
      </c>
      <c r="I999" t="s">
        <v>6210</v>
      </c>
      <c r="J999" t="s">
        <v>5023</v>
      </c>
      <c r="K999" t="s">
        <v>1947</v>
      </c>
      <c r="L999" t="s">
        <v>6213</v>
      </c>
      <c r="M999" t="s">
        <v>6193</v>
      </c>
      <c r="N999">
        <v>0.5</v>
      </c>
      <c r="O999">
        <v>6.75</v>
      </c>
      <c r="P999">
        <v>1.35</v>
      </c>
      <c r="Q999">
        <v>0.60749999999999993</v>
      </c>
      <c r="R999" s="5">
        <v>27</v>
      </c>
    </row>
    <row r="1000" spans="1:18" x14ac:dyDescent="0.25">
      <c r="A1000" t="s">
        <v>1920</v>
      </c>
      <c r="B1000" s="7">
        <v>44411</v>
      </c>
      <c r="C1000" t="str">
        <f>TEXT(Table3[[#This Row],[Order Date]],"yyyy")</f>
        <v>2021</v>
      </c>
      <c r="D1000" t="s">
        <v>6231</v>
      </c>
      <c r="E1000" t="s">
        <v>1921</v>
      </c>
      <c r="F1000" t="s">
        <v>33</v>
      </c>
      <c r="G1000">
        <v>1</v>
      </c>
      <c r="H1000" t="s">
        <v>6174</v>
      </c>
      <c r="I1000" t="s">
        <v>6210</v>
      </c>
      <c r="J1000" t="s">
        <v>2753</v>
      </c>
      <c r="K1000" t="s">
        <v>1947</v>
      </c>
      <c r="L1000" t="s">
        <v>6213</v>
      </c>
      <c r="M1000" t="s">
        <v>6195</v>
      </c>
      <c r="N1000">
        <v>1</v>
      </c>
      <c r="O1000">
        <v>9.9499999999999993</v>
      </c>
      <c r="P1000">
        <v>0.99499999999999988</v>
      </c>
      <c r="Q1000">
        <v>0.89549999999999985</v>
      </c>
      <c r="R1000" s="5">
        <v>9.9499999999999993</v>
      </c>
    </row>
    <row r="1001" spans="1:18" x14ac:dyDescent="0.25">
      <c r="A1001" t="s">
        <v>1922</v>
      </c>
      <c r="B1001" s="7">
        <v>44119</v>
      </c>
      <c r="C1001" t="str">
        <f>TEXT(Table3[[#This Row],[Order Date]],"yyyy")</f>
        <v>2020</v>
      </c>
      <c r="D1001" t="s">
        <v>6235</v>
      </c>
      <c r="E1001" t="s">
        <v>1923</v>
      </c>
      <c r="F1001" t="s">
        <v>70</v>
      </c>
      <c r="G1001">
        <v>3</v>
      </c>
      <c r="H1001" t="s">
        <v>6178</v>
      </c>
      <c r="I1001" t="s">
        <v>2112</v>
      </c>
      <c r="J1001" t="s">
        <v>4480</v>
      </c>
      <c r="K1001" t="s">
        <v>1938</v>
      </c>
      <c r="L1001" t="s">
        <v>6212</v>
      </c>
      <c r="M1001" t="s">
        <v>6193</v>
      </c>
      <c r="N1001">
        <v>0.2</v>
      </c>
      <c r="O1001">
        <v>4.125</v>
      </c>
      <c r="P1001">
        <v>2.0625</v>
      </c>
      <c r="Q1001">
        <v>0.45374999999999999</v>
      </c>
      <c r="R1001" s="5">
        <v>12.375</v>
      </c>
    </row>
    <row r="1002" spans="1:18" x14ac:dyDescent="0.25">
      <c r="A1002" t="s">
        <v>6222</v>
      </c>
      <c r="B1002" s="7"/>
      <c r="D1002" s="1"/>
      <c r="H1002" s="1"/>
      <c r="M1002"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26C1-B597-4200-A43E-087FBF00880B}">
  <dimension ref="A2:E141"/>
  <sheetViews>
    <sheetView workbookViewId="0">
      <selection activeCell="B52" sqref="B52:B56"/>
    </sheetView>
  </sheetViews>
  <sheetFormatPr defaultRowHeight="15" x14ac:dyDescent="0.25"/>
  <cols>
    <col min="1" max="1" width="15.42578125" bestFit="1" customWidth="1"/>
    <col min="2" max="2" width="12.140625" bestFit="1" customWidth="1"/>
    <col min="3" max="3" width="12.5703125" bestFit="1" customWidth="1"/>
    <col min="4" max="5" width="12.140625" bestFit="1" customWidth="1"/>
    <col min="6" max="197" width="16.28515625" bestFit="1" customWidth="1"/>
    <col min="198" max="198" width="11.28515625" bestFit="1" customWidth="1"/>
    <col min="199" max="199" width="15" bestFit="1" customWidth="1"/>
    <col min="200" max="201" width="14.7109375" bestFit="1" customWidth="1"/>
    <col min="202" max="202" width="15" bestFit="1" customWidth="1"/>
    <col min="203" max="203" width="15.140625" bestFit="1" customWidth="1"/>
    <col min="204" max="204" width="14.85546875" bestFit="1" customWidth="1"/>
    <col min="205" max="205" width="15.5703125" bestFit="1" customWidth="1"/>
    <col min="206" max="206" width="15" bestFit="1" customWidth="1"/>
    <col min="207" max="207" width="14.7109375" bestFit="1" customWidth="1"/>
    <col min="208" max="208" width="14.5703125" bestFit="1" customWidth="1"/>
    <col min="209" max="209" width="14.85546875" bestFit="1" customWidth="1"/>
    <col min="210" max="210" width="15.140625" bestFit="1" customWidth="1"/>
    <col min="211" max="211" width="15" bestFit="1" customWidth="1"/>
    <col min="212" max="212" width="14.7109375" bestFit="1" customWidth="1"/>
    <col min="213" max="213" width="15.140625" bestFit="1" customWidth="1"/>
    <col min="214" max="214" width="14.85546875" bestFit="1" customWidth="1"/>
    <col min="215" max="215" width="15" bestFit="1" customWidth="1"/>
    <col min="216" max="217" width="14.85546875" bestFit="1" customWidth="1"/>
    <col min="218" max="218" width="14.42578125" bestFit="1" customWidth="1"/>
    <col min="219" max="219" width="15" bestFit="1" customWidth="1"/>
    <col min="220" max="220" width="15.42578125" bestFit="1" customWidth="1"/>
    <col min="221" max="221" width="15.140625" bestFit="1" customWidth="1"/>
    <col min="222" max="222" width="15.42578125" bestFit="1" customWidth="1"/>
    <col min="223" max="224" width="15.85546875" bestFit="1" customWidth="1"/>
    <col min="225" max="225" width="15.140625" bestFit="1" customWidth="1"/>
    <col min="226" max="226" width="15" bestFit="1" customWidth="1"/>
    <col min="227" max="227" width="14.85546875" bestFit="1" customWidth="1"/>
    <col min="228" max="228" width="14.5703125" bestFit="1" customWidth="1"/>
    <col min="229" max="229" width="14.85546875" bestFit="1" customWidth="1"/>
    <col min="230" max="230" width="15" bestFit="1" customWidth="1"/>
    <col min="231" max="231" width="15.140625" bestFit="1" customWidth="1"/>
    <col min="232" max="232" width="14.140625" bestFit="1" customWidth="1"/>
    <col min="233" max="234" width="14.85546875" bestFit="1" customWidth="1"/>
    <col min="235" max="235" width="15.140625" bestFit="1" customWidth="1"/>
    <col min="236" max="236" width="14.7109375" bestFit="1" customWidth="1"/>
    <col min="237" max="237" width="14.85546875" bestFit="1" customWidth="1"/>
    <col min="238" max="238" width="15.85546875" bestFit="1" customWidth="1"/>
    <col min="239" max="239" width="14.5703125" bestFit="1" customWidth="1"/>
    <col min="240" max="240" width="15.140625" bestFit="1" customWidth="1"/>
    <col min="241" max="241" width="14.85546875" bestFit="1" customWidth="1"/>
    <col min="242" max="242" width="15.28515625" bestFit="1" customWidth="1"/>
    <col min="243" max="243" width="14.140625" bestFit="1" customWidth="1"/>
    <col min="244" max="244" width="14.28515625" bestFit="1" customWidth="1"/>
    <col min="245" max="245" width="14.140625" bestFit="1" customWidth="1"/>
    <col min="246" max="247" width="15" bestFit="1" customWidth="1"/>
    <col min="248" max="250" width="14.85546875" bestFit="1" customWidth="1"/>
    <col min="251" max="251" width="14.7109375" bestFit="1" customWidth="1"/>
    <col min="252" max="252" width="14.5703125" bestFit="1" customWidth="1"/>
    <col min="253" max="253" width="15" bestFit="1" customWidth="1"/>
    <col min="254" max="254" width="14.7109375" bestFit="1" customWidth="1"/>
    <col min="255" max="255" width="14.85546875" bestFit="1" customWidth="1"/>
    <col min="256" max="256" width="15.7109375" bestFit="1" customWidth="1"/>
    <col min="257" max="257" width="15" bestFit="1" customWidth="1"/>
    <col min="258" max="258" width="14.28515625" bestFit="1" customWidth="1"/>
    <col min="259" max="259" width="15.28515625" bestFit="1" customWidth="1"/>
    <col min="260" max="260" width="14.85546875" bestFit="1" customWidth="1"/>
    <col min="261" max="261" width="15.7109375" bestFit="1" customWidth="1"/>
    <col min="262" max="262" width="15" bestFit="1" customWidth="1"/>
    <col min="263" max="263" width="15.28515625" bestFit="1" customWidth="1"/>
    <col min="264" max="264" width="15.140625" bestFit="1" customWidth="1"/>
    <col min="265" max="265" width="15" bestFit="1" customWidth="1"/>
    <col min="266" max="266" width="14.5703125" bestFit="1" customWidth="1"/>
    <col min="267" max="267" width="15.42578125" bestFit="1" customWidth="1"/>
    <col min="268" max="268" width="14.5703125" bestFit="1" customWidth="1"/>
    <col min="269" max="269" width="15.28515625" bestFit="1" customWidth="1"/>
    <col min="270" max="271" width="14.5703125" bestFit="1" customWidth="1"/>
    <col min="272" max="272" width="15.140625" bestFit="1" customWidth="1"/>
    <col min="273" max="273" width="15" bestFit="1" customWidth="1"/>
    <col min="274" max="274" width="15.140625" bestFit="1" customWidth="1"/>
    <col min="275" max="275" width="15" bestFit="1" customWidth="1"/>
    <col min="276" max="276" width="14.85546875" bestFit="1" customWidth="1"/>
    <col min="277" max="277" width="15.140625" bestFit="1" customWidth="1"/>
    <col min="278" max="278" width="14.85546875" bestFit="1" customWidth="1"/>
    <col min="279" max="279" width="15.42578125" bestFit="1" customWidth="1"/>
    <col min="280" max="281" width="14.85546875" bestFit="1" customWidth="1"/>
    <col min="282" max="282" width="14.42578125" bestFit="1" customWidth="1"/>
    <col min="283" max="283" width="15.42578125" bestFit="1" customWidth="1"/>
    <col min="284" max="284" width="14.7109375" bestFit="1" customWidth="1"/>
    <col min="285" max="285" width="15.140625" bestFit="1" customWidth="1"/>
    <col min="286" max="286" width="14.85546875" bestFit="1" customWidth="1"/>
    <col min="287" max="287" width="15.42578125" bestFit="1" customWidth="1"/>
    <col min="288" max="288" width="15.140625" bestFit="1" customWidth="1"/>
    <col min="289" max="289" width="14.7109375" bestFit="1" customWidth="1"/>
    <col min="290" max="290" width="14.28515625" bestFit="1" customWidth="1"/>
    <col min="291" max="291" width="14.42578125" bestFit="1" customWidth="1"/>
    <col min="292" max="292" width="15.42578125" bestFit="1" customWidth="1"/>
    <col min="293" max="293" width="14.7109375" bestFit="1" customWidth="1"/>
    <col min="294" max="294" width="14.28515625" bestFit="1" customWidth="1"/>
    <col min="295" max="295" width="15.140625" bestFit="1" customWidth="1"/>
    <col min="296" max="296" width="15" bestFit="1" customWidth="1"/>
    <col min="297" max="297" width="14.7109375" bestFit="1" customWidth="1"/>
    <col min="298" max="298" width="15.140625" bestFit="1" customWidth="1"/>
    <col min="299" max="299" width="16" bestFit="1" customWidth="1"/>
    <col min="300" max="300" width="15" bestFit="1" customWidth="1"/>
    <col min="301" max="301" width="14.85546875" bestFit="1" customWidth="1"/>
    <col min="302" max="302" width="15" bestFit="1" customWidth="1"/>
    <col min="303" max="303" width="15.140625" bestFit="1" customWidth="1"/>
    <col min="304" max="304" width="14.85546875" bestFit="1" customWidth="1"/>
    <col min="305" max="305" width="14.42578125" bestFit="1" customWidth="1"/>
    <col min="306" max="306" width="15.85546875" bestFit="1" customWidth="1"/>
    <col min="307" max="308" width="15.28515625" bestFit="1" customWidth="1"/>
    <col min="309" max="309" width="14.5703125" bestFit="1" customWidth="1"/>
    <col min="310" max="310" width="14.85546875" bestFit="1" customWidth="1"/>
    <col min="311" max="311" width="15.28515625" bestFit="1" customWidth="1"/>
    <col min="312" max="312" width="15" bestFit="1" customWidth="1"/>
    <col min="313" max="313" width="14.7109375" bestFit="1" customWidth="1"/>
    <col min="314" max="315" width="14.85546875" bestFit="1" customWidth="1"/>
    <col min="316" max="316" width="15" bestFit="1" customWidth="1"/>
    <col min="317" max="317" width="13.85546875" bestFit="1" customWidth="1"/>
    <col min="318" max="318" width="14.5703125" bestFit="1" customWidth="1"/>
    <col min="319" max="319" width="15" bestFit="1" customWidth="1"/>
    <col min="320" max="320" width="14.5703125" bestFit="1" customWidth="1"/>
    <col min="321" max="321" width="14.85546875" bestFit="1" customWidth="1"/>
    <col min="322" max="322" width="16" bestFit="1" customWidth="1"/>
    <col min="323" max="324" width="14.85546875" bestFit="1" customWidth="1"/>
    <col min="325" max="325" width="15.7109375" bestFit="1" customWidth="1"/>
    <col min="326" max="326" width="14.7109375" bestFit="1" customWidth="1"/>
    <col min="327" max="327" width="14.85546875" bestFit="1" customWidth="1"/>
    <col min="328" max="328" width="15.42578125" bestFit="1" customWidth="1"/>
    <col min="329" max="329" width="14.85546875" bestFit="1" customWidth="1"/>
    <col min="330" max="330" width="15.5703125" bestFit="1" customWidth="1"/>
    <col min="331" max="331" width="14" bestFit="1" customWidth="1"/>
    <col min="332" max="332" width="15.42578125" bestFit="1" customWidth="1"/>
    <col min="333" max="333" width="15.28515625" bestFit="1" customWidth="1"/>
    <col min="334" max="334" width="15.140625" bestFit="1" customWidth="1"/>
    <col min="335" max="335" width="15.42578125" bestFit="1" customWidth="1"/>
    <col min="336" max="336" width="15.28515625" bestFit="1" customWidth="1"/>
    <col min="337" max="337" width="15.140625" bestFit="1" customWidth="1"/>
    <col min="338" max="338" width="15.5703125" bestFit="1" customWidth="1"/>
    <col min="339" max="339" width="16.5703125" bestFit="1" customWidth="1"/>
    <col min="340" max="340" width="15.7109375" bestFit="1" customWidth="1"/>
    <col min="341" max="341" width="14.28515625" bestFit="1" customWidth="1"/>
    <col min="342" max="342" width="14.5703125" bestFit="1" customWidth="1"/>
    <col min="343" max="343" width="15.42578125" bestFit="1" customWidth="1"/>
    <col min="344" max="344" width="14.42578125" bestFit="1" customWidth="1"/>
    <col min="345" max="345" width="15.140625" bestFit="1" customWidth="1"/>
    <col min="346" max="346" width="14.5703125" bestFit="1" customWidth="1"/>
    <col min="347" max="347" width="14.42578125" bestFit="1" customWidth="1"/>
    <col min="348" max="348" width="15.85546875" bestFit="1" customWidth="1"/>
    <col min="349" max="349" width="15.42578125" bestFit="1" customWidth="1"/>
    <col min="350" max="350" width="15" bestFit="1" customWidth="1"/>
    <col min="351" max="351" width="14.7109375" bestFit="1" customWidth="1"/>
    <col min="352" max="352" width="14.85546875" bestFit="1" customWidth="1"/>
    <col min="353" max="353" width="15.140625" bestFit="1" customWidth="1"/>
    <col min="354" max="354" width="14.28515625" bestFit="1" customWidth="1"/>
    <col min="355" max="355" width="14.42578125" bestFit="1" customWidth="1"/>
    <col min="356" max="356" width="14.140625" bestFit="1" customWidth="1"/>
    <col min="357" max="357" width="15.28515625" bestFit="1" customWidth="1"/>
    <col min="358" max="358" width="15.140625" bestFit="1" customWidth="1"/>
    <col min="359" max="359" width="15.42578125" bestFit="1" customWidth="1"/>
    <col min="360" max="360" width="14.5703125" bestFit="1" customWidth="1"/>
    <col min="361" max="361" width="14.85546875" bestFit="1" customWidth="1"/>
    <col min="362" max="362" width="15.85546875" bestFit="1" customWidth="1"/>
    <col min="363" max="363" width="14.7109375" bestFit="1" customWidth="1"/>
    <col min="364" max="364" width="15.5703125" bestFit="1" customWidth="1"/>
    <col min="365" max="365" width="14.5703125" bestFit="1" customWidth="1"/>
    <col min="366" max="366" width="14.7109375" bestFit="1" customWidth="1"/>
    <col min="367" max="367" width="15.28515625" bestFit="1" customWidth="1"/>
    <col min="368" max="368" width="14.7109375" bestFit="1" customWidth="1"/>
    <col min="369" max="369" width="14.85546875" bestFit="1" customWidth="1"/>
    <col min="370" max="370" width="15.42578125" bestFit="1" customWidth="1"/>
    <col min="371" max="371" width="14.5703125" bestFit="1" customWidth="1"/>
    <col min="372" max="372" width="15.5703125" bestFit="1" customWidth="1"/>
    <col min="373" max="373" width="15" bestFit="1" customWidth="1"/>
    <col min="374" max="374" width="15.28515625" bestFit="1" customWidth="1"/>
    <col min="375" max="375" width="14.85546875" bestFit="1" customWidth="1"/>
    <col min="376" max="376" width="15.28515625" bestFit="1" customWidth="1"/>
    <col min="377" max="379" width="14.85546875" bestFit="1" customWidth="1"/>
    <col min="380" max="380" width="15.85546875" bestFit="1" customWidth="1"/>
    <col min="381" max="381" width="15.140625" bestFit="1" customWidth="1"/>
    <col min="382" max="382" width="15" bestFit="1" customWidth="1"/>
    <col min="383" max="383" width="15.28515625" bestFit="1" customWidth="1"/>
    <col min="384" max="384" width="14.5703125" bestFit="1" customWidth="1"/>
    <col min="385" max="385" width="15.5703125" bestFit="1" customWidth="1"/>
    <col min="386" max="386" width="16" bestFit="1" customWidth="1"/>
    <col min="387" max="387" width="15.28515625" bestFit="1" customWidth="1"/>
    <col min="388" max="388" width="15" bestFit="1" customWidth="1"/>
    <col min="389" max="389" width="15.28515625" bestFit="1" customWidth="1"/>
    <col min="390" max="390" width="14.85546875" bestFit="1" customWidth="1"/>
    <col min="391" max="391" width="15.7109375" bestFit="1" customWidth="1"/>
    <col min="392" max="392" width="14.85546875" bestFit="1" customWidth="1"/>
    <col min="393" max="393" width="15.5703125" bestFit="1" customWidth="1"/>
    <col min="394" max="394" width="14.85546875" bestFit="1" customWidth="1"/>
    <col min="395" max="395" width="16" bestFit="1" customWidth="1"/>
    <col min="396" max="396" width="15.28515625" bestFit="1" customWidth="1"/>
    <col min="397" max="397" width="15" bestFit="1" customWidth="1"/>
    <col min="398" max="398" width="14.85546875" bestFit="1" customWidth="1"/>
    <col min="399" max="399" width="14.140625" bestFit="1" customWidth="1"/>
    <col min="400" max="400" width="15.5703125" bestFit="1" customWidth="1"/>
    <col min="401" max="403" width="15.42578125" bestFit="1" customWidth="1"/>
    <col min="404" max="404" width="14.42578125" bestFit="1" customWidth="1"/>
    <col min="405" max="405" width="15.5703125" bestFit="1" customWidth="1"/>
    <col min="406" max="406" width="15.140625" bestFit="1" customWidth="1"/>
    <col min="407" max="407" width="14.140625" bestFit="1" customWidth="1"/>
    <col min="408" max="409" width="14.42578125" bestFit="1" customWidth="1"/>
    <col min="410" max="410" width="14.85546875" bestFit="1" customWidth="1"/>
    <col min="411" max="411" width="14.5703125" bestFit="1" customWidth="1"/>
    <col min="412" max="412" width="14.85546875" bestFit="1" customWidth="1"/>
    <col min="413" max="413" width="14.7109375" bestFit="1" customWidth="1"/>
    <col min="414" max="414" width="15" bestFit="1" customWidth="1"/>
    <col min="415" max="415" width="15.5703125" bestFit="1" customWidth="1"/>
    <col min="416" max="416" width="14.28515625" bestFit="1" customWidth="1"/>
    <col min="417" max="418" width="14.42578125" bestFit="1" customWidth="1"/>
    <col min="419" max="419" width="15.140625" bestFit="1" customWidth="1"/>
    <col min="420" max="420" width="14.42578125" bestFit="1" customWidth="1"/>
    <col min="421" max="422" width="14.85546875" bestFit="1" customWidth="1"/>
    <col min="423" max="423" width="15" bestFit="1" customWidth="1"/>
    <col min="424" max="424" width="14.5703125" bestFit="1" customWidth="1"/>
    <col min="425" max="425" width="14.85546875" bestFit="1" customWidth="1"/>
    <col min="426" max="426" width="15" bestFit="1" customWidth="1"/>
    <col min="427" max="427" width="14.85546875" bestFit="1" customWidth="1"/>
    <col min="428" max="428" width="14.5703125" bestFit="1" customWidth="1"/>
    <col min="429" max="429" width="15" bestFit="1" customWidth="1"/>
    <col min="430" max="430" width="15.140625" bestFit="1" customWidth="1"/>
    <col min="431" max="431" width="15" bestFit="1" customWidth="1"/>
    <col min="432" max="432" width="14.7109375" bestFit="1" customWidth="1"/>
    <col min="433" max="433" width="14.28515625" bestFit="1" customWidth="1"/>
    <col min="434" max="434" width="14.85546875" bestFit="1" customWidth="1"/>
    <col min="435" max="436" width="15" bestFit="1" customWidth="1"/>
    <col min="437" max="437" width="15.28515625" bestFit="1" customWidth="1"/>
    <col min="438" max="438" width="15.7109375" bestFit="1" customWidth="1"/>
    <col min="439" max="439" width="15.140625" bestFit="1" customWidth="1"/>
    <col min="440" max="440" width="14.140625" bestFit="1" customWidth="1"/>
    <col min="441" max="441" width="16" bestFit="1" customWidth="1"/>
    <col min="442" max="442" width="15" bestFit="1" customWidth="1"/>
    <col min="443" max="443" width="14.7109375" bestFit="1" customWidth="1"/>
    <col min="444" max="444" width="15.42578125" bestFit="1" customWidth="1"/>
    <col min="445" max="445" width="15" bestFit="1" customWidth="1"/>
    <col min="446" max="446" width="14.5703125" bestFit="1" customWidth="1"/>
    <col min="447" max="448" width="14.7109375" bestFit="1" customWidth="1"/>
    <col min="449" max="449" width="15.140625" bestFit="1" customWidth="1"/>
    <col min="450" max="450" width="15" bestFit="1" customWidth="1"/>
    <col min="451" max="451" width="15.5703125" bestFit="1" customWidth="1"/>
    <col min="452" max="452" width="14.85546875" bestFit="1" customWidth="1"/>
    <col min="453" max="453" width="14.7109375" bestFit="1" customWidth="1"/>
    <col min="454" max="454" width="15.140625" bestFit="1" customWidth="1"/>
    <col min="455" max="455" width="15.28515625" bestFit="1" customWidth="1"/>
    <col min="456" max="456" width="16" bestFit="1" customWidth="1"/>
    <col min="457" max="457" width="14.7109375" bestFit="1" customWidth="1"/>
    <col min="458" max="458" width="14.5703125" bestFit="1" customWidth="1"/>
    <col min="459" max="459" width="15.140625" bestFit="1" customWidth="1"/>
    <col min="460" max="460" width="15.85546875" bestFit="1" customWidth="1"/>
    <col min="461" max="461" width="14.85546875" bestFit="1" customWidth="1"/>
    <col min="462" max="462" width="14.28515625" bestFit="1" customWidth="1"/>
    <col min="463" max="463" width="14.85546875" bestFit="1" customWidth="1"/>
    <col min="464" max="464" width="15.28515625" bestFit="1" customWidth="1"/>
    <col min="465" max="465" width="14.42578125" bestFit="1" customWidth="1"/>
    <col min="466" max="466" width="15" bestFit="1" customWidth="1"/>
    <col min="467" max="467" width="16" bestFit="1" customWidth="1"/>
    <col min="468" max="468" width="14.7109375" bestFit="1" customWidth="1"/>
    <col min="469" max="469" width="14.5703125" bestFit="1" customWidth="1"/>
    <col min="470" max="470" width="14.140625" bestFit="1" customWidth="1"/>
    <col min="471" max="471" width="14.85546875" bestFit="1" customWidth="1"/>
    <col min="472" max="472" width="15.140625" bestFit="1" customWidth="1"/>
    <col min="473" max="473" width="14.7109375" bestFit="1" customWidth="1"/>
    <col min="474" max="474" width="14.42578125" bestFit="1" customWidth="1"/>
    <col min="475" max="475" width="14.28515625" bestFit="1" customWidth="1"/>
    <col min="476" max="476" width="14.7109375" bestFit="1" customWidth="1"/>
    <col min="477" max="477" width="15.140625" bestFit="1" customWidth="1"/>
    <col min="478" max="478" width="15" bestFit="1" customWidth="1"/>
    <col min="479" max="479" width="14.85546875" bestFit="1" customWidth="1"/>
    <col min="480" max="480" width="15" bestFit="1" customWidth="1"/>
    <col min="481" max="481" width="14.5703125" bestFit="1" customWidth="1"/>
    <col min="482" max="482" width="14.7109375" bestFit="1" customWidth="1"/>
    <col min="483" max="483" width="15.140625" bestFit="1" customWidth="1"/>
    <col min="484" max="484" width="14.85546875" bestFit="1" customWidth="1"/>
    <col min="485" max="485" width="14.7109375" bestFit="1" customWidth="1"/>
    <col min="486" max="486" width="15.85546875" bestFit="1" customWidth="1"/>
    <col min="487" max="487" width="15" bestFit="1" customWidth="1"/>
    <col min="488" max="488" width="14.7109375" bestFit="1" customWidth="1"/>
    <col min="489" max="489" width="15" bestFit="1" customWidth="1"/>
    <col min="490" max="490" width="14.7109375" bestFit="1" customWidth="1"/>
    <col min="491" max="491" width="15.28515625" bestFit="1" customWidth="1"/>
    <col min="492" max="492" width="14.85546875" bestFit="1" customWidth="1"/>
    <col min="493" max="493" width="15" bestFit="1" customWidth="1"/>
    <col min="494" max="494" width="14.42578125" bestFit="1" customWidth="1"/>
    <col min="495" max="495" width="15.140625" bestFit="1" customWidth="1"/>
    <col min="496" max="496" width="14.85546875" bestFit="1" customWidth="1"/>
    <col min="497" max="497" width="14.7109375" bestFit="1" customWidth="1"/>
    <col min="498" max="498" width="14.85546875" bestFit="1" customWidth="1"/>
    <col min="499" max="500" width="15.42578125" bestFit="1" customWidth="1"/>
    <col min="501" max="501" width="15.5703125" bestFit="1" customWidth="1"/>
    <col min="502" max="502" width="16" bestFit="1" customWidth="1"/>
    <col min="503" max="503" width="15.140625" bestFit="1" customWidth="1"/>
    <col min="504" max="504" width="14.42578125" bestFit="1" customWidth="1"/>
    <col min="505" max="505" width="15" bestFit="1" customWidth="1"/>
    <col min="506" max="506" width="15.140625" bestFit="1" customWidth="1"/>
    <col min="507" max="507" width="14.85546875" bestFit="1" customWidth="1"/>
    <col min="508" max="508" width="14.42578125" bestFit="1" customWidth="1"/>
    <col min="509" max="509" width="14.7109375" bestFit="1" customWidth="1"/>
    <col min="510" max="510" width="14.5703125" bestFit="1" customWidth="1"/>
    <col min="511" max="512" width="15" bestFit="1" customWidth="1"/>
    <col min="513" max="513" width="15.42578125" bestFit="1" customWidth="1"/>
    <col min="514" max="514" width="14.5703125" bestFit="1" customWidth="1"/>
    <col min="515" max="515" width="15" bestFit="1" customWidth="1"/>
    <col min="516" max="516" width="14.85546875" bestFit="1" customWidth="1"/>
    <col min="517" max="517" width="15.7109375" bestFit="1" customWidth="1"/>
    <col min="518" max="519" width="15.140625" bestFit="1" customWidth="1"/>
    <col min="520" max="520" width="15" bestFit="1" customWidth="1"/>
    <col min="521" max="521" width="15.140625" bestFit="1" customWidth="1"/>
    <col min="522" max="522" width="14.85546875" bestFit="1" customWidth="1"/>
    <col min="523" max="524" width="15" bestFit="1" customWidth="1"/>
    <col min="525" max="525" width="14.5703125" bestFit="1" customWidth="1"/>
    <col min="526" max="526" width="15.28515625" bestFit="1" customWidth="1"/>
    <col min="527" max="527" width="15" bestFit="1" customWidth="1"/>
    <col min="528" max="528" width="15.5703125" bestFit="1" customWidth="1"/>
    <col min="529" max="529" width="15.140625" bestFit="1" customWidth="1"/>
    <col min="530" max="530" width="15" bestFit="1" customWidth="1"/>
    <col min="531" max="531" width="14.5703125" bestFit="1" customWidth="1"/>
    <col min="532" max="532" width="14.85546875" bestFit="1" customWidth="1"/>
    <col min="533" max="533" width="16" bestFit="1" customWidth="1"/>
    <col min="534" max="534" width="15" bestFit="1" customWidth="1"/>
    <col min="535" max="535" width="14.42578125" bestFit="1" customWidth="1"/>
    <col min="536" max="536" width="14.5703125" bestFit="1" customWidth="1"/>
    <col min="537" max="537" width="15.28515625" bestFit="1" customWidth="1"/>
    <col min="538" max="538" width="14.85546875" bestFit="1" customWidth="1"/>
    <col min="539" max="539" width="14.7109375" bestFit="1" customWidth="1"/>
    <col min="540" max="541" width="15" bestFit="1" customWidth="1"/>
    <col min="542" max="542" width="14.140625" bestFit="1" customWidth="1"/>
    <col min="543" max="543" width="14.5703125" bestFit="1" customWidth="1"/>
    <col min="544" max="544" width="15.5703125" bestFit="1" customWidth="1"/>
    <col min="545" max="546" width="14.85546875" bestFit="1" customWidth="1"/>
    <col min="547" max="547" width="15.28515625" bestFit="1" customWidth="1"/>
    <col min="548" max="548" width="15" bestFit="1" customWidth="1"/>
    <col min="549" max="549" width="15.140625" bestFit="1" customWidth="1"/>
    <col min="550" max="550" width="14.85546875" bestFit="1" customWidth="1"/>
    <col min="551" max="551" width="15.42578125" bestFit="1" customWidth="1"/>
    <col min="552" max="552" width="14.7109375" bestFit="1" customWidth="1"/>
    <col min="553" max="553" width="14.85546875" bestFit="1" customWidth="1"/>
    <col min="554" max="554" width="15.85546875" bestFit="1" customWidth="1"/>
    <col min="555" max="555" width="14.140625" bestFit="1" customWidth="1"/>
    <col min="556" max="556" width="14.42578125" bestFit="1" customWidth="1"/>
    <col min="557" max="557" width="15.140625" bestFit="1" customWidth="1"/>
    <col min="558" max="558" width="14.85546875" bestFit="1" customWidth="1"/>
    <col min="559" max="559" width="15.85546875" bestFit="1" customWidth="1"/>
    <col min="560" max="560" width="14.85546875" bestFit="1" customWidth="1"/>
    <col min="561" max="561" width="13.7109375" bestFit="1" customWidth="1"/>
    <col min="562" max="562" width="15" bestFit="1" customWidth="1"/>
    <col min="563" max="563" width="15.28515625" bestFit="1" customWidth="1"/>
    <col min="564" max="564" width="15" bestFit="1" customWidth="1"/>
    <col min="565" max="566" width="14.85546875" bestFit="1" customWidth="1"/>
    <col min="567" max="568" width="15.28515625" bestFit="1" customWidth="1"/>
    <col min="569" max="569" width="14.5703125" bestFit="1" customWidth="1"/>
    <col min="570" max="570" width="15.140625" bestFit="1" customWidth="1"/>
    <col min="571" max="571" width="14.85546875" bestFit="1" customWidth="1"/>
    <col min="572" max="572" width="15" bestFit="1" customWidth="1"/>
    <col min="573" max="573" width="15.85546875" bestFit="1" customWidth="1"/>
    <col min="574" max="574" width="15.5703125" bestFit="1" customWidth="1"/>
    <col min="575" max="575" width="15.85546875" bestFit="1" customWidth="1"/>
    <col min="576" max="576" width="16.42578125" bestFit="1" customWidth="1"/>
    <col min="577" max="577" width="14.85546875" bestFit="1" customWidth="1"/>
    <col min="578" max="578" width="13.7109375" bestFit="1" customWidth="1"/>
    <col min="579" max="579" width="15.140625" bestFit="1" customWidth="1"/>
    <col min="580" max="580" width="15.42578125" bestFit="1" customWidth="1"/>
    <col min="581" max="581" width="14.7109375" bestFit="1" customWidth="1"/>
    <col min="582" max="582" width="14.5703125" bestFit="1" customWidth="1"/>
    <col min="583" max="583" width="14.7109375" bestFit="1" customWidth="1"/>
    <col min="584" max="584" width="15.7109375" bestFit="1" customWidth="1"/>
    <col min="585" max="585" width="15.85546875" bestFit="1" customWidth="1"/>
    <col min="586" max="586" width="15.5703125" bestFit="1" customWidth="1"/>
    <col min="587" max="587" width="15.140625" bestFit="1" customWidth="1"/>
    <col min="588" max="589" width="14.85546875" bestFit="1" customWidth="1"/>
    <col min="590" max="590" width="16" bestFit="1" customWidth="1"/>
    <col min="591" max="591" width="15.28515625" bestFit="1" customWidth="1"/>
    <col min="592" max="592" width="14.85546875" bestFit="1" customWidth="1"/>
    <col min="593" max="593" width="15.140625" bestFit="1" customWidth="1"/>
    <col min="594" max="594" width="14.5703125" bestFit="1" customWidth="1"/>
    <col min="595" max="595" width="15" bestFit="1" customWidth="1"/>
    <col min="596" max="597" width="14.85546875" bestFit="1" customWidth="1"/>
    <col min="598" max="598" width="15.42578125" bestFit="1" customWidth="1"/>
    <col min="599" max="599" width="14.85546875" bestFit="1" customWidth="1"/>
    <col min="600" max="600" width="15.42578125" bestFit="1" customWidth="1"/>
    <col min="601" max="602" width="15.140625" bestFit="1" customWidth="1"/>
    <col min="603" max="603" width="15.85546875" bestFit="1" customWidth="1"/>
    <col min="604" max="604" width="15.5703125" bestFit="1" customWidth="1"/>
    <col min="605" max="605" width="15.140625" bestFit="1" customWidth="1"/>
    <col min="606" max="606" width="14.7109375" bestFit="1" customWidth="1"/>
    <col min="607" max="608" width="14.85546875" bestFit="1" customWidth="1"/>
    <col min="609" max="609" width="14.28515625" bestFit="1" customWidth="1"/>
    <col min="610" max="610" width="14.85546875" bestFit="1" customWidth="1"/>
    <col min="611" max="611" width="15.28515625" bestFit="1" customWidth="1"/>
    <col min="612" max="612" width="15" bestFit="1" customWidth="1"/>
    <col min="613" max="613" width="14.5703125" bestFit="1" customWidth="1"/>
    <col min="614" max="614" width="15" bestFit="1" customWidth="1"/>
    <col min="615" max="615" width="15.28515625" bestFit="1" customWidth="1"/>
    <col min="616" max="616" width="14.5703125" bestFit="1" customWidth="1"/>
    <col min="617" max="617" width="15.28515625" bestFit="1" customWidth="1"/>
    <col min="618" max="618" width="14.42578125" bestFit="1" customWidth="1"/>
    <col min="619" max="621" width="15" bestFit="1" customWidth="1"/>
    <col min="622" max="622" width="15.5703125" bestFit="1" customWidth="1"/>
    <col min="623" max="623" width="14.5703125" bestFit="1" customWidth="1"/>
    <col min="624" max="624" width="15.85546875" bestFit="1" customWidth="1"/>
    <col min="625" max="626" width="15.140625" bestFit="1" customWidth="1"/>
    <col min="627" max="627" width="14.7109375" bestFit="1" customWidth="1"/>
    <col min="628" max="628" width="14.28515625" bestFit="1" customWidth="1"/>
    <col min="629" max="629" width="15.7109375" bestFit="1" customWidth="1"/>
    <col min="630" max="630" width="14.42578125" bestFit="1" customWidth="1"/>
    <col min="631" max="631" width="16" bestFit="1" customWidth="1"/>
    <col min="632" max="633" width="15" bestFit="1" customWidth="1"/>
    <col min="634" max="634" width="14.85546875" bestFit="1" customWidth="1"/>
    <col min="635" max="635" width="15" bestFit="1" customWidth="1"/>
    <col min="636" max="637" width="14.7109375" bestFit="1" customWidth="1"/>
    <col min="638" max="638" width="15.5703125" bestFit="1" customWidth="1"/>
    <col min="639" max="639" width="14.7109375" bestFit="1" customWidth="1"/>
    <col min="640" max="640" width="15" bestFit="1" customWidth="1"/>
    <col min="641" max="643" width="15.140625" bestFit="1" customWidth="1"/>
    <col min="644" max="644" width="15.28515625" bestFit="1" customWidth="1"/>
    <col min="645" max="645" width="15.42578125" bestFit="1" customWidth="1"/>
    <col min="646" max="646" width="14.28515625" bestFit="1" customWidth="1"/>
    <col min="647" max="647" width="15" bestFit="1" customWidth="1"/>
    <col min="648" max="648" width="14.7109375" bestFit="1" customWidth="1"/>
    <col min="649" max="649" width="14.85546875" bestFit="1" customWidth="1"/>
    <col min="650" max="650" width="15.140625" bestFit="1" customWidth="1"/>
    <col min="651" max="651" width="15" bestFit="1" customWidth="1"/>
    <col min="652" max="652" width="15.28515625" bestFit="1" customWidth="1"/>
    <col min="653" max="653" width="15" bestFit="1" customWidth="1"/>
    <col min="654" max="654" width="14.85546875" bestFit="1" customWidth="1"/>
    <col min="655" max="656" width="14.28515625" bestFit="1" customWidth="1"/>
    <col min="657" max="657" width="14.85546875" bestFit="1" customWidth="1"/>
    <col min="658" max="658" width="14.7109375" bestFit="1" customWidth="1"/>
    <col min="659" max="659" width="15.7109375" bestFit="1" customWidth="1"/>
    <col min="660" max="660" width="15" bestFit="1" customWidth="1"/>
    <col min="661" max="662" width="15.42578125" bestFit="1" customWidth="1"/>
    <col min="663" max="663" width="14.28515625" bestFit="1" customWidth="1"/>
    <col min="664" max="664" width="14.42578125" bestFit="1" customWidth="1"/>
    <col min="665" max="665" width="15.140625" bestFit="1" customWidth="1"/>
    <col min="666" max="666" width="14.7109375" bestFit="1" customWidth="1"/>
    <col min="667" max="667" width="15.7109375" bestFit="1" customWidth="1"/>
    <col min="668" max="668" width="14.5703125" bestFit="1" customWidth="1"/>
    <col min="669" max="669" width="15" bestFit="1" customWidth="1"/>
    <col min="670" max="670" width="15.5703125" bestFit="1" customWidth="1"/>
    <col min="671" max="671" width="15" bestFit="1" customWidth="1"/>
    <col min="672" max="672" width="15.140625" bestFit="1" customWidth="1"/>
    <col min="673" max="673" width="14.7109375" bestFit="1" customWidth="1"/>
    <col min="674" max="674" width="15" bestFit="1" customWidth="1"/>
    <col min="675" max="676" width="15.85546875" bestFit="1" customWidth="1"/>
    <col min="677" max="677" width="14.7109375" bestFit="1" customWidth="1"/>
    <col min="678" max="678" width="14.140625" bestFit="1" customWidth="1"/>
    <col min="679" max="679" width="14.85546875" bestFit="1" customWidth="1"/>
    <col min="680" max="680" width="14.5703125" bestFit="1" customWidth="1"/>
    <col min="681" max="682" width="15" bestFit="1" customWidth="1"/>
    <col min="683" max="683" width="14.5703125" bestFit="1" customWidth="1"/>
    <col min="684" max="684" width="14.28515625" bestFit="1" customWidth="1"/>
    <col min="685" max="685" width="14.5703125" bestFit="1" customWidth="1"/>
    <col min="686" max="686" width="14.85546875" bestFit="1" customWidth="1"/>
    <col min="687" max="687" width="14.7109375" bestFit="1" customWidth="1"/>
    <col min="688" max="688" width="15.42578125" bestFit="1" customWidth="1"/>
    <col min="689" max="689" width="14.7109375" bestFit="1" customWidth="1"/>
    <col min="690" max="690" width="15.28515625" bestFit="1" customWidth="1"/>
    <col min="691" max="691" width="13.7109375" bestFit="1" customWidth="1"/>
    <col min="692" max="692" width="14.28515625" bestFit="1" customWidth="1"/>
    <col min="693" max="693" width="14.7109375" bestFit="1" customWidth="1"/>
    <col min="694" max="694" width="15" bestFit="1" customWidth="1"/>
    <col min="695" max="696" width="14.85546875" bestFit="1" customWidth="1"/>
    <col min="697" max="697" width="15.28515625" bestFit="1" customWidth="1"/>
    <col min="698" max="698" width="15" bestFit="1" customWidth="1"/>
    <col min="699" max="699" width="14.28515625" bestFit="1" customWidth="1"/>
    <col min="700" max="700" width="15.28515625" bestFit="1" customWidth="1"/>
    <col min="701" max="701" width="15" bestFit="1" customWidth="1"/>
    <col min="702" max="702" width="14.42578125" bestFit="1" customWidth="1"/>
    <col min="703" max="703" width="14.5703125" bestFit="1" customWidth="1"/>
    <col min="704" max="704" width="15.140625" bestFit="1" customWidth="1"/>
    <col min="705" max="705" width="14.85546875" bestFit="1" customWidth="1"/>
    <col min="706" max="706" width="14.5703125" bestFit="1" customWidth="1"/>
    <col min="707" max="707" width="14.7109375" bestFit="1" customWidth="1"/>
    <col min="708" max="708" width="14.85546875" bestFit="1" customWidth="1"/>
    <col min="709" max="710" width="14.7109375" bestFit="1" customWidth="1"/>
    <col min="711" max="711" width="15.5703125" bestFit="1" customWidth="1"/>
    <col min="712" max="713" width="15" bestFit="1" customWidth="1"/>
    <col min="714" max="714" width="14.42578125" bestFit="1" customWidth="1"/>
    <col min="715" max="715" width="15.28515625" bestFit="1" customWidth="1"/>
    <col min="716" max="716" width="15.140625" bestFit="1" customWidth="1"/>
    <col min="717" max="717" width="14.42578125" bestFit="1" customWidth="1"/>
    <col min="718" max="718" width="15" bestFit="1" customWidth="1"/>
    <col min="719" max="719" width="13.85546875" bestFit="1" customWidth="1"/>
    <col min="720" max="720" width="14.5703125" bestFit="1" customWidth="1"/>
    <col min="721" max="721" width="15.140625" bestFit="1" customWidth="1"/>
    <col min="722" max="722" width="14.85546875" bestFit="1" customWidth="1"/>
    <col min="723" max="723" width="14.5703125" bestFit="1" customWidth="1"/>
    <col min="724" max="724" width="15.5703125" bestFit="1" customWidth="1"/>
    <col min="725" max="725" width="16.28515625" bestFit="1" customWidth="1"/>
    <col min="726" max="726" width="15" bestFit="1" customWidth="1"/>
    <col min="727" max="727" width="14.42578125" bestFit="1" customWidth="1"/>
    <col min="728" max="728" width="15.28515625" bestFit="1" customWidth="1"/>
    <col min="729" max="729" width="15.140625" bestFit="1" customWidth="1"/>
    <col min="730" max="730" width="16" bestFit="1" customWidth="1"/>
    <col min="731" max="731" width="14.85546875" bestFit="1" customWidth="1"/>
    <col min="732" max="732" width="14.5703125" bestFit="1" customWidth="1"/>
    <col min="733" max="733" width="14.7109375" bestFit="1" customWidth="1"/>
    <col min="734" max="734" width="14.5703125" bestFit="1" customWidth="1"/>
    <col min="735" max="735" width="15.5703125" bestFit="1" customWidth="1"/>
    <col min="736" max="736" width="15" bestFit="1" customWidth="1"/>
    <col min="737" max="737" width="14.85546875" bestFit="1" customWidth="1"/>
    <col min="738" max="738" width="14.5703125" bestFit="1" customWidth="1"/>
    <col min="739" max="739" width="15.85546875" bestFit="1" customWidth="1"/>
    <col min="740" max="740" width="15" bestFit="1" customWidth="1"/>
    <col min="741" max="741" width="15.140625" bestFit="1" customWidth="1"/>
    <col min="742" max="742" width="14.85546875" bestFit="1" customWidth="1"/>
    <col min="743" max="743" width="15" bestFit="1" customWidth="1"/>
    <col min="744" max="744" width="15.85546875" bestFit="1" customWidth="1"/>
    <col min="745" max="745" width="15" bestFit="1" customWidth="1"/>
    <col min="746" max="746" width="14.28515625" bestFit="1" customWidth="1"/>
    <col min="747" max="747" width="15.140625" bestFit="1" customWidth="1"/>
    <col min="748" max="748" width="14.140625" bestFit="1" customWidth="1"/>
    <col min="749" max="749" width="14.28515625" bestFit="1" customWidth="1"/>
    <col min="750" max="750" width="14.5703125" bestFit="1" customWidth="1"/>
    <col min="751" max="751" width="14.42578125" bestFit="1" customWidth="1"/>
    <col min="752" max="752" width="15.42578125" bestFit="1" customWidth="1"/>
    <col min="753" max="753" width="14.140625" bestFit="1" customWidth="1"/>
    <col min="754" max="754" width="15.42578125" bestFit="1" customWidth="1"/>
    <col min="755" max="755" width="14.85546875" bestFit="1" customWidth="1"/>
    <col min="756" max="756" width="14.28515625" bestFit="1" customWidth="1"/>
    <col min="757" max="757" width="14.7109375" bestFit="1" customWidth="1"/>
    <col min="758" max="758" width="14.85546875" bestFit="1" customWidth="1"/>
    <col min="759" max="759" width="15" bestFit="1" customWidth="1"/>
    <col min="760" max="760" width="14.5703125" bestFit="1" customWidth="1"/>
    <col min="761" max="761" width="15" bestFit="1" customWidth="1"/>
    <col min="762" max="762" width="14.42578125" bestFit="1" customWidth="1"/>
    <col min="763" max="763" width="15.140625" bestFit="1" customWidth="1"/>
    <col min="764" max="764" width="15.28515625" bestFit="1" customWidth="1"/>
    <col min="765" max="765" width="15" bestFit="1" customWidth="1"/>
    <col min="766" max="767" width="15.28515625" bestFit="1" customWidth="1"/>
    <col min="768" max="768" width="15.140625" bestFit="1" customWidth="1"/>
    <col min="769" max="769" width="15.28515625" bestFit="1" customWidth="1"/>
    <col min="770" max="770" width="14.7109375" bestFit="1" customWidth="1"/>
    <col min="771" max="771" width="15.7109375" bestFit="1" customWidth="1"/>
    <col min="772" max="773" width="14.85546875" bestFit="1" customWidth="1"/>
    <col min="774" max="774" width="15" bestFit="1" customWidth="1"/>
    <col min="775" max="775" width="15.28515625" bestFit="1" customWidth="1"/>
    <col min="776" max="776" width="14.85546875" bestFit="1" customWidth="1"/>
    <col min="777" max="777" width="15.28515625" bestFit="1" customWidth="1"/>
    <col min="778" max="778" width="15.7109375" bestFit="1" customWidth="1"/>
    <col min="779" max="779" width="14.85546875" bestFit="1" customWidth="1"/>
    <col min="780" max="780" width="15.7109375" bestFit="1" customWidth="1"/>
    <col min="781" max="781" width="14.7109375" bestFit="1" customWidth="1"/>
    <col min="782" max="782" width="14.85546875" bestFit="1" customWidth="1"/>
    <col min="783" max="783" width="14.7109375" bestFit="1" customWidth="1"/>
    <col min="784" max="785" width="15" bestFit="1" customWidth="1"/>
    <col min="786" max="786" width="14.85546875" bestFit="1" customWidth="1"/>
    <col min="787" max="787" width="15.140625" bestFit="1" customWidth="1"/>
    <col min="788" max="789" width="14.85546875" bestFit="1" customWidth="1"/>
    <col min="790" max="790" width="15.42578125" bestFit="1" customWidth="1"/>
    <col min="791" max="791" width="14.85546875" bestFit="1" customWidth="1"/>
    <col min="792" max="792" width="14.28515625" bestFit="1" customWidth="1"/>
    <col min="793" max="793" width="15.140625" bestFit="1" customWidth="1"/>
    <col min="794" max="794" width="14.85546875" bestFit="1" customWidth="1"/>
    <col min="795" max="795" width="15" bestFit="1" customWidth="1"/>
    <col min="796" max="796" width="14.7109375" bestFit="1" customWidth="1"/>
    <col min="797" max="797" width="14.28515625" bestFit="1" customWidth="1"/>
    <col min="798" max="798" width="15" bestFit="1" customWidth="1"/>
    <col min="799" max="799" width="15.28515625" bestFit="1" customWidth="1"/>
    <col min="800" max="800" width="15" bestFit="1" customWidth="1"/>
    <col min="801" max="801" width="16" bestFit="1" customWidth="1"/>
    <col min="802" max="802" width="14.85546875" bestFit="1" customWidth="1"/>
    <col min="803" max="803" width="15" bestFit="1" customWidth="1"/>
    <col min="804" max="804" width="15.7109375" bestFit="1" customWidth="1"/>
    <col min="805" max="805" width="14.5703125" bestFit="1" customWidth="1"/>
    <col min="806" max="806" width="15" bestFit="1" customWidth="1"/>
    <col min="807" max="807" width="14.7109375" bestFit="1" customWidth="1"/>
    <col min="808" max="808" width="15" bestFit="1" customWidth="1"/>
    <col min="809" max="809" width="15.7109375" bestFit="1" customWidth="1"/>
    <col min="810" max="810" width="15.28515625" bestFit="1" customWidth="1"/>
    <col min="811" max="812" width="14.85546875" bestFit="1" customWidth="1"/>
    <col min="813" max="813" width="15.140625" bestFit="1" customWidth="1"/>
    <col min="814" max="814" width="14.7109375" bestFit="1" customWidth="1"/>
    <col min="815" max="815" width="14.85546875" bestFit="1" customWidth="1"/>
    <col min="816" max="816" width="14.5703125" bestFit="1" customWidth="1"/>
    <col min="817" max="817" width="14.85546875" bestFit="1" customWidth="1"/>
    <col min="818" max="818" width="14.7109375" bestFit="1" customWidth="1"/>
    <col min="819" max="819" width="15.28515625" bestFit="1" customWidth="1"/>
    <col min="820" max="820" width="15.42578125" bestFit="1" customWidth="1"/>
    <col min="821" max="821" width="15.7109375" bestFit="1" customWidth="1"/>
    <col min="822" max="822" width="15" bestFit="1" customWidth="1"/>
    <col min="823" max="823" width="14.7109375" bestFit="1" customWidth="1"/>
    <col min="824" max="825" width="15.140625" bestFit="1" customWidth="1"/>
    <col min="826" max="826" width="14.85546875" bestFit="1" customWidth="1"/>
    <col min="827" max="827" width="14.7109375" bestFit="1" customWidth="1"/>
    <col min="828" max="828" width="14.85546875" bestFit="1" customWidth="1"/>
    <col min="829" max="829" width="14.42578125" bestFit="1" customWidth="1"/>
    <col min="830" max="830" width="14.5703125" bestFit="1" customWidth="1"/>
    <col min="831" max="831" width="14.7109375" bestFit="1" customWidth="1"/>
    <col min="832" max="832" width="15.28515625" bestFit="1" customWidth="1"/>
    <col min="833" max="833" width="15.140625" bestFit="1" customWidth="1"/>
    <col min="834" max="834" width="14.5703125" bestFit="1" customWidth="1"/>
    <col min="835" max="835" width="14.85546875" bestFit="1" customWidth="1"/>
    <col min="836" max="836" width="15.7109375" bestFit="1" customWidth="1"/>
    <col min="837" max="837" width="14.42578125" bestFit="1" customWidth="1"/>
    <col min="838" max="838" width="14.28515625" bestFit="1" customWidth="1"/>
    <col min="839" max="839" width="15.140625" bestFit="1" customWidth="1"/>
    <col min="840" max="840" width="14.5703125" bestFit="1" customWidth="1"/>
    <col min="841" max="841" width="14.85546875" bestFit="1" customWidth="1"/>
    <col min="842" max="842" width="13.85546875" bestFit="1" customWidth="1"/>
    <col min="843" max="843" width="15.42578125" bestFit="1" customWidth="1"/>
    <col min="844" max="844" width="15" bestFit="1" customWidth="1"/>
    <col min="845" max="845" width="14.28515625" bestFit="1" customWidth="1"/>
    <col min="846" max="847" width="14.85546875" bestFit="1" customWidth="1"/>
    <col min="848" max="848" width="14.42578125" bestFit="1" customWidth="1"/>
    <col min="849" max="849" width="15.140625" bestFit="1" customWidth="1"/>
    <col min="850" max="850" width="14.7109375" bestFit="1" customWidth="1"/>
    <col min="851" max="851" width="15.140625" bestFit="1" customWidth="1"/>
    <col min="852" max="852" width="14.7109375" bestFit="1" customWidth="1"/>
    <col min="853" max="853" width="14.85546875" bestFit="1" customWidth="1"/>
    <col min="854" max="854" width="15.140625" bestFit="1" customWidth="1"/>
    <col min="855" max="855" width="14.7109375" bestFit="1" customWidth="1"/>
    <col min="856" max="856" width="14.85546875" bestFit="1" customWidth="1"/>
    <col min="857" max="857" width="15" bestFit="1" customWidth="1"/>
    <col min="858" max="858" width="15.140625" bestFit="1" customWidth="1"/>
    <col min="859" max="859" width="15.85546875" bestFit="1" customWidth="1"/>
    <col min="860" max="860" width="16" bestFit="1" customWidth="1"/>
    <col min="861" max="861" width="14.85546875" bestFit="1" customWidth="1"/>
    <col min="862" max="862" width="14.42578125" bestFit="1" customWidth="1"/>
    <col min="863" max="863" width="15.85546875" bestFit="1" customWidth="1"/>
    <col min="864" max="864" width="15.7109375" bestFit="1" customWidth="1"/>
    <col min="865" max="865" width="14.42578125" bestFit="1" customWidth="1"/>
    <col min="866" max="866" width="13.85546875" bestFit="1" customWidth="1"/>
    <col min="867" max="868" width="15" bestFit="1" customWidth="1"/>
    <col min="869" max="869" width="14.42578125" bestFit="1" customWidth="1"/>
    <col min="870" max="871" width="15" bestFit="1" customWidth="1"/>
    <col min="872" max="873" width="15.28515625" bestFit="1" customWidth="1"/>
    <col min="874" max="874" width="14.5703125" bestFit="1" customWidth="1"/>
    <col min="875" max="875" width="15.28515625" bestFit="1" customWidth="1"/>
    <col min="876" max="876" width="14.42578125" bestFit="1" customWidth="1"/>
    <col min="877" max="877" width="15" bestFit="1" customWidth="1"/>
    <col min="878" max="878" width="15.140625" bestFit="1" customWidth="1"/>
    <col min="879" max="879" width="15" bestFit="1" customWidth="1"/>
    <col min="880" max="880" width="14.85546875" bestFit="1" customWidth="1"/>
    <col min="881" max="881" width="14.7109375" bestFit="1" customWidth="1"/>
    <col min="882" max="882" width="14.85546875" bestFit="1" customWidth="1"/>
    <col min="883" max="883" width="15" bestFit="1" customWidth="1"/>
    <col min="884" max="884" width="15.7109375" bestFit="1" customWidth="1"/>
    <col min="885" max="885" width="15.42578125" bestFit="1" customWidth="1"/>
    <col min="886" max="886" width="14.140625" bestFit="1" customWidth="1"/>
    <col min="887" max="887" width="14.5703125" bestFit="1" customWidth="1"/>
    <col min="888" max="888" width="15.140625" bestFit="1" customWidth="1"/>
    <col min="889" max="889" width="14.28515625" bestFit="1" customWidth="1"/>
    <col min="890" max="890" width="14.85546875" bestFit="1" customWidth="1"/>
    <col min="891" max="892" width="15.140625" bestFit="1" customWidth="1"/>
    <col min="893" max="893" width="15.7109375" bestFit="1" customWidth="1"/>
    <col min="894" max="894" width="14" bestFit="1" customWidth="1"/>
    <col min="895" max="895" width="14.7109375" bestFit="1" customWidth="1"/>
    <col min="896" max="896" width="14.140625" bestFit="1" customWidth="1"/>
    <col min="897" max="897" width="14.7109375" bestFit="1" customWidth="1"/>
    <col min="898" max="898" width="15.28515625" bestFit="1" customWidth="1"/>
    <col min="899" max="899" width="15.140625" bestFit="1" customWidth="1"/>
    <col min="900" max="900" width="14.5703125" bestFit="1" customWidth="1"/>
    <col min="901" max="901" width="15" bestFit="1" customWidth="1"/>
    <col min="902" max="902" width="14.7109375" bestFit="1" customWidth="1"/>
    <col min="903" max="903" width="14.42578125" bestFit="1" customWidth="1"/>
    <col min="904" max="904" width="15.140625" bestFit="1" customWidth="1"/>
    <col min="905" max="906" width="15.42578125" bestFit="1" customWidth="1"/>
    <col min="907" max="907" width="14.7109375" bestFit="1" customWidth="1"/>
    <col min="908" max="908" width="14.5703125" bestFit="1" customWidth="1"/>
    <col min="909" max="909" width="14.7109375" bestFit="1" customWidth="1"/>
    <col min="910" max="910" width="14.5703125" bestFit="1" customWidth="1"/>
    <col min="911" max="911" width="14.85546875" bestFit="1" customWidth="1"/>
    <col min="912" max="912" width="15.42578125" bestFit="1" customWidth="1"/>
    <col min="913" max="914" width="15.140625" bestFit="1" customWidth="1"/>
    <col min="915" max="915" width="11.28515625" bestFit="1" customWidth="1"/>
    <col min="916" max="957" width="16.28515625" bestFit="1" customWidth="1"/>
    <col min="958" max="958" width="11.28515625" bestFit="1" customWidth="1"/>
  </cols>
  <sheetData>
    <row r="2" spans="1:5" x14ac:dyDescent="0.25">
      <c r="A2" t="s">
        <v>6223</v>
      </c>
      <c r="B2" t="s">
        <v>6220</v>
      </c>
      <c r="C2" t="s">
        <v>6221</v>
      </c>
      <c r="D2" t="s">
        <v>6226</v>
      </c>
      <c r="E2" t="s">
        <v>6219</v>
      </c>
    </row>
    <row r="3" spans="1:5" x14ac:dyDescent="0.25">
      <c r="A3" s="4">
        <v>312</v>
      </c>
      <c r="B3" s="6">
        <v>1143</v>
      </c>
      <c r="C3" s="6">
        <v>379.77710000000013</v>
      </c>
      <c r="D3" s="1">
        <v>292</v>
      </c>
      <c r="E3" s="6">
        <v>13766.109999999999</v>
      </c>
    </row>
    <row r="5" spans="1:5" x14ac:dyDescent="0.25">
      <c r="A5" t="s">
        <v>6248</v>
      </c>
      <c r="B5" s="4">
        <f>GETPIVOTDATA("[Measures].[Count of Order ID]",$A$2)</f>
        <v>312</v>
      </c>
      <c r="D5" s="6"/>
    </row>
    <row r="6" spans="1:5" x14ac:dyDescent="0.25">
      <c r="A6" t="s">
        <v>6246</v>
      </c>
      <c r="B6" s="6">
        <f>GETPIVOTDATA("[Measures].[Sum of Sales]",$A$2)</f>
        <v>13766.109999999999</v>
      </c>
      <c r="D6" s="6"/>
    </row>
    <row r="7" spans="1:5" x14ac:dyDescent="0.25">
      <c r="A7" t="s">
        <v>6249</v>
      </c>
      <c r="B7" s="6">
        <f>GETPIVOTDATA("[Measures].[Sum of Profit]",$A$2)</f>
        <v>379.77710000000013</v>
      </c>
    </row>
    <row r="8" spans="1:5" x14ac:dyDescent="0.25">
      <c r="A8" t="s">
        <v>6247</v>
      </c>
      <c r="B8">
        <f>GETPIVOTDATA("[Measures].[Distinct Count of Customer ID]",$A$2)</f>
        <v>292</v>
      </c>
    </row>
    <row r="10" spans="1:5" x14ac:dyDescent="0.25">
      <c r="A10" s="2" t="s">
        <v>6224</v>
      </c>
      <c r="B10" t="s">
        <v>6220</v>
      </c>
    </row>
    <row r="11" spans="1:5" x14ac:dyDescent="0.25">
      <c r="A11" s="3" t="s">
        <v>5198</v>
      </c>
      <c r="B11" s="1">
        <v>9</v>
      </c>
    </row>
    <row r="12" spans="1:5" x14ac:dyDescent="0.25">
      <c r="A12" s="3" t="s">
        <v>5765</v>
      </c>
      <c r="B12" s="1">
        <v>10</v>
      </c>
    </row>
    <row r="13" spans="1:5" x14ac:dyDescent="0.25">
      <c r="A13" s="3" t="s">
        <v>5685</v>
      </c>
      <c r="B13" s="1">
        <v>11</v>
      </c>
    </row>
    <row r="14" spans="1:5" x14ac:dyDescent="0.25">
      <c r="A14" s="3" t="s">
        <v>2086</v>
      </c>
      <c r="B14" s="1">
        <v>17</v>
      </c>
    </row>
    <row r="15" spans="1:5" x14ac:dyDescent="0.25">
      <c r="A15" s="3" t="s">
        <v>2841</v>
      </c>
      <c r="B15" s="1">
        <v>18</v>
      </c>
    </row>
    <row r="16" spans="1:5" x14ac:dyDescent="0.25">
      <c r="A16" s="3" t="s">
        <v>6225</v>
      </c>
      <c r="B16" s="1">
        <v>65</v>
      </c>
    </row>
    <row r="20" spans="1:2" x14ac:dyDescent="0.25">
      <c r="A20" s="2" t="s">
        <v>6224</v>
      </c>
      <c r="B20" s="6" t="s">
        <v>6219</v>
      </c>
    </row>
    <row r="21" spans="1:2" x14ac:dyDescent="0.25">
      <c r="A21" s="3" t="s">
        <v>6210</v>
      </c>
      <c r="B21" s="6">
        <v>11090.61</v>
      </c>
    </row>
    <row r="22" spans="1:2" x14ac:dyDescent="0.25">
      <c r="A22" s="3" t="s">
        <v>1945</v>
      </c>
      <c r="B22" s="6">
        <v>2032.4549999999995</v>
      </c>
    </row>
    <row r="23" spans="1:2" x14ac:dyDescent="0.25">
      <c r="A23" s="3" t="s">
        <v>2112</v>
      </c>
      <c r="B23" s="6">
        <v>643.04499999999996</v>
      </c>
    </row>
    <row r="24" spans="1:2" x14ac:dyDescent="0.25">
      <c r="A24" s="3" t="s">
        <v>6225</v>
      </c>
      <c r="B24" s="6">
        <v>13766.109999999999</v>
      </c>
    </row>
    <row r="28" spans="1:2" x14ac:dyDescent="0.25">
      <c r="A28" s="2" t="s">
        <v>6224</v>
      </c>
      <c r="B28" s="6" t="s">
        <v>6221</v>
      </c>
    </row>
    <row r="29" spans="1:2" x14ac:dyDescent="0.25">
      <c r="A29" s="3">
        <v>0.2</v>
      </c>
      <c r="B29" s="6">
        <v>32.558100000000017</v>
      </c>
    </row>
    <row r="30" spans="1:2" x14ac:dyDescent="0.25">
      <c r="A30" s="3">
        <v>0.5</v>
      </c>
      <c r="B30" s="6">
        <v>62.507400000000018</v>
      </c>
    </row>
    <row r="31" spans="1:2" x14ac:dyDescent="0.25">
      <c r="A31" s="3">
        <v>1</v>
      </c>
      <c r="B31" s="6">
        <v>105.06549999999999</v>
      </c>
    </row>
    <row r="32" spans="1:2" x14ac:dyDescent="0.25">
      <c r="A32" s="3">
        <v>2.5</v>
      </c>
      <c r="B32" s="6">
        <v>179.6460999999999</v>
      </c>
    </row>
    <row r="33" spans="1:2" x14ac:dyDescent="0.25">
      <c r="A33" s="3" t="s">
        <v>6225</v>
      </c>
      <c r="B33" s="6">
        <v>379.77710000000013</v>
      </c>
    </row>
    <row r="36" spans="1:2" x14ac:dyDescent="0.25">
      <c r="A36" s="2" t="s">
        <v>6224</v>
      </c>
      <c r="B36" s="6" t="s">
        <v>6221</v>
      </c>
    </row>
    <row r="37" spans="1:2" x14ac:dyDescent="0.25">
      <c r="A37" s="3" t="s">
        <v>6232</v>
      </c>
      <c r="B37" s="6">
        <v>28.790700000000001</v>
      </c>
    </row>
    <row r="38" spans="1:2" x14ac:dyDescent="0.25">
      <c r="A38" s="3" t="s">
        <v>6238</v>
      </c>
      <c r="B38" s="6">
        <v>27.638449999999999</v>
      </c>
    </row>
    <row r="39" spans="1:2" x14ac:dyDescent="0.25">
      <c r="A39" s="3" t="s">
        <v>6234</v>
      </c>
      <c r="B39" s="6">
        <v>42.002850000000002</v>
      </c>
    </row>
    <row r="40" spans="1:2" x14ac:dyDescent="0.25">
      <c r="A40" s="3" t="s">
        <v>6236</v>
      </c>
      <c r="B40" s="6">
        <v>28.797699999999992</v>
      </c>
    </row>
    <row r="41" spans="1:2" x14ac:dyDescent="0.25">
      <c r="A41" s="3" t="s">
        <v>6233</v>
      </c>
      <c r="B41" s="6">
        <v>27.161949999999997</v>
      </c>
    </row>
    <row r="42" spans="1:2" x14ac:dyDescent="0.25">
      <c r="A42" s="3" t="s">
        <v>6229</v>
      </c>
      <c r="B42" s="6">
        <v>22.082749999999997</v>
      </c>
    </row>
    <row r="43" spans="1:2" x14ac:dyDescent="0.25">
      <c r="A43" s="3" t="s">
        <v>6230</v>
      </c>
      <c r="B43" s="6">
        <v>19.360349999999997</v>
      </c>
    </row>
    <row r="44" spans="1:2" x14ac:dyDescent="0.25">
      <c r="A44" s="3" t="s">
        <v>6231</v>
      </c>
      <c r="B44" s="6">
        <v>28.009049999999995</v>
      </c>
    </row>
    <row r="45" spans="1:2" x14ac:dyDescent="0.25">
      <c r="A45" s="3" t="s">
        <v>6228</v>
      </c>
      <c r="B45" s="6">
        <v>38.802549999999989</v>
      </c>
    </row>
    <row r="46" spans="1:2" x14ac:dyDescent="0.25">
      <c r="A46" s="3" t="s">
        <v>6235</v>
      </c>
      <c r="B46" s="6">
        <v>43.396599999999999</v>
      </c>
    </row>
    <row r="47" spans="1:2" x14ac:dyDescent="0.25">
      <c r="A47" s="3" t="s">
        <v>6239</v>
      </c>
      <c r="B47" s="6">
        <v>42.74615</v>
      </c>
    </row>
    <row r="48" spans="1:2" x14ac:dyDescent="0.25">
      <c r="A48" s="3" t="s">
        <v>6237</v>
      </c>
      <c r="B48" s="6">
        <v>30.988</v>
      </c>
    </row>
    <row r="49" spans="1:2" x14ac:dyDescent="0.25">
      <c r="A49" s="3" t="s">
        <v>6225</v>
      </c>
      <c r="B49" s="6">
        <v>379.77710000000013</v>
      </c>
    </row>
    <row r="51" spans="1:2" x14ac:dyDescent="0.25">
      <c r="A51" s="2" t="s">
        <v>6224</v>
      </c>
      <c r="B51" t="s">
        <v>6244</v>
      </c>
    </row>
    <row r="52" spans="1:2" x14ac:dyDescent="0.25">
      <c r="A52" s="3" t="s">
        <v>6240</v>
      </c>
      <c r="B52" s="6">
        <v>942.1049999999999</v>
      </c>
    </row>
    <row r="53" spans="1:2" x14ac:dyDescent="0.25">
      <c r="A53" s="3" t="s">
        <v>6241</v>
      </c>
      <c r="B53" s="6">
        <v>767.8</v>
      </c>
    </row>
    <row r="54" spans="1:2" x14ac:dyDescent="0.25">
      <c r="A54" s="3" t="s">
        <v>6242</v>
      </c>
      <c r="B54" s="6">
        <v>928.70499999999993</v>
      </c>
    </row>
    <row r="55" spans="1:2" x14ac:dyDescent="0.25">
      <c r="A55" s="3" t="s">
        <v>6243</v>
      </c>
      <c r="B55" s="6">
        <v>1107.2350000000001</v>
      </c>
    </row>
    <row r="56" spans="1:2" x14ac:dyDescent="0.25">
      <c r="A56" s="3" t="s">
        <v>6225</v>
      </c>
      <c r="B56" s="6">
        <v>3745.8449999999984</v>
      </c>
    </row>
    <row r="67" ht="1.5" customHeight="1" x14ac:dyDescent="0.25"/>
    <row r="68" hidden="1" x14ac:dyDescent="0.25"/>
    <row r="69" hidden="1" x14ac:dyDescent="0.25"/>
    <row r="70" hidden="1" x14ac:dyDescent="0.25"/>
    <row r="71" hidden="1" x14ac:dyDescent="0.25"/>
    <row r="72" hidden="1" x14ac:dyDescent="0.25"/>
    <row r="136" spans="1:4" x14ac:dyDescent="0.25">
      <c r="A136" s="2" t="s">
        <v>6224</v>
      </c>
      <c r="B136" s="6" t="s">
        <v>6219</v>
      </c>
    </row>
    <row r="137" spans="1:4" x14ac:dyDescent="0.25">
      <c r="A137" s="3">
        <v>0.2</v>
      </c>
      <c r="B137" s="8">
        <v>7.9522464951972613E-2</v>
      </c>
      <c r="D137" t="s">
        <v>6219</v>
      </c>
    </row>
    <row r="138" spans="1:4" x14ac:dyDescent="0.25">
      <c r="A138" s="3">
        <v>0.5</v>
      </c>
      <c r="B138" s="8">
        <v>0.16116317536326524</v>
      </c>
      <c r="D138" s="8">
        <v>1</v>
      </c>
    </row>
    <row r="139" spans="1:4" x14ac:dyDescent="0.25">
      <c r="A139" s="3">
        <v>1</v>
      </c>
      <c r="B139" s="8">
        <v>0.29678681922489364</v>
      </c>
    </row>
    <row r="140" spans="1:4" x14ac:dyDescent="0.25">
      <c r="A140" s="3">
        <v>2.5</v>
      </c>
      <c r="B140" s="8">
        <v>0.46252754045986844</v>
      </c>
    </row>
    <row r="141" spans="1:4" x14ac:dyDescent="0.25">
      <c r="A141" s="3" t="s">
        <v>6225</v>
      </c>
      <c r="B141" s="8">
        <v>1</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AB6F-9454-4DC7-9997-BE978623530E}">
  <dimension ref="T41"/>
  <sheetViews>
    <sheetView showGridLines="0" showRowColHeaders="0" tabSelected="1" zoomScale="71" zoomScaleNormal="71" workbookViewId="0">
      <selection activeCell="S23" sqref="S23"/>
    </sheetView>
  </sheetViews>
  <sheetFormatPr defaultRowHeight="15" x14ac:dyDescent="0.25"/>
  <cols>
    <col min="1" max="25" width="9.140625" style="9"/>
    <col min="26" max="26" width="9.140625" style="9" customWidth="1"/>
    <col min="27" max="16384" width="9.140625" style="9"/>
  </cols>
  <sheetData>
    <row r="41" spans="20:20" x14ac:dyDescent="0.25">
      <c r="T41" s="9" t="s">
        <v>6245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2D9AE7-F3E6-4FCD-AA33-44B717AB50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info</vt:lpstr>
      <vt:lpstr>product info</vt:lpstr>
      <vt:lpstr>meta data</vt:lpstr>
      <vt:lpstr>orders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Tiwa Layo</cp:lastModifiedBy>
  <dcterms:created xsi:type="dcterms:W3CDTF">2025-08-17T11:30:27Z</dcterms:created>
  <dcterms:modified xsi:type="dcterms:W3CDTF">2026-02-08T00:47:14Z</dcterms:modified>
</cp:coreProperties>
</file>